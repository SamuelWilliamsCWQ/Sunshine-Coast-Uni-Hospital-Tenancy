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555" yWindow="90" windowWidth="13095" windowHeight="8865" tabRatio="707"/>
  </bookViews>
  <sheets>
    <sheet name="Valves Selection" sheetId="1" r:id="rId1"/>
    <sheet name="Damper Selection" sheetId="5" r:id="rId2"/>
    <sheet name="Combi Valves Selection" sheetId="7" r:id="rId3"/>
    <sheet name="Stock List" sheetId="3" r:id="rId4"/>
    <sheet name="Combivalve Preset" sheetId="6" state="hidden" r:id="rId5"/>
    <sheet name="MenuSheet" sheetId="4" state="hidden" r:id="rId6"/>
    <sheet name="Macros" sheetId="8" state="hidden" r:id="rId7"/>
    <sheet name="Data_Descriptions" sheetId="14" state="hidden" r:id="rId8"/>
  </sheets>
  <functionGroups builtInGroupCount="17"/>
  <definedNames>
    <definedName name="_xlnm._FilterDatabase" localSheetId="2" hidden="1">'Combi Valves Selection'!$E$8:$E$257</definedName>
    <definedName name="_xlnm._FilterDatabase" localSheetId="7" hidden="1">Data_Descriptions!$A$1:$B$467</definedName>
    <definedName name="_xlnm._FilterDatabase" localSheetId="3" hidden="1">'Stock List'!$C$7:$D$13</definedName>
    <definedName name="_xlnm._FilterDatabase" localSheetId="0" hidden="1">'Valves Selection'!$H$8:$H$37</definedName>
    <definedName name="CombiActuatorList">OFFSET('Combi Valves Selection'!$D$7,0,0,COUNTA('Combi Valves Selection'!$C:$C)+1,7)</definedName>
    <definedName name="CombiList">OFFSET('Combi Valves Selection'!$D$7,0,0,COUNTA('Combi Valves Selection'!$C:$C)+1,2)</definedName>
    <definedName name="DamperList">OFFSET('Damper Selection'!$E$7,0,0,COUNT('Damper Selection'!$D:$D)+1,2)</definedName>
    <definedName name="_xlnm.Print_Area" localSheetId="2">'Combi Valves Selection'!$A$1:$M$263</definedName>
    <definedName name="_xlnm.Print_Area" localSheetId="1">'Damper Selection'!$A:$K</definedName>
    <definedName name="_xlnm.Print_Area" localSheetId="3">'Stock List'!$A$1:$M$39</definedName>
    <definedName name="_xlnm.Print_Area" localSheetId="0">'Valves Selection'!$A$1:$R$42</definedName>
    <definedName name="_xlnm.Print_Titles" localSheetId="2">'Combi Valves Selection'!$6:$7</definedName>
    <definedName name="_xlnm.Print_Titles" localSheetId="7">Data_Descriptions!$1:$1</definedName>
    <definedName name="_xlnm.Print_Titles" localSheetId="0">'Valves Selection'!$6:$7</definedName>
    <definedName name="ValveActuatorList">OFFSET('Valves Selection'!$E$7,0,0,COUNTA('Valves Selection'!$F:$F)+1,8)</definedName>
    <definedName name="ValveFittingsList">OFFSET('Valves Selection'!$P$7,0,0,COUNTA('Valves Selection'!$F:$F)+1,2)</definedName>
    <definedName name="ValveList">OFFSET('Valves Selection'!$E$7,0,0,COUNTA('Valves Selection'!$F:$F)+1,4)</definedName>
    <definedName name="VPF43_100_70_DIAL">'Combivalve Preset'!$B$160:$S$160</definedName>
    <definedName name="VPF43_100_70_LH">'Combivalve Preset'!$B$161:$S$161</definedName>
    <definedName name="VPF43_100_90_DIAL">'Combivalve Preset'!$B$164:$S$164</definedName>
    <definedName name="VPF43_100_90_LH">'Combivalve Preset'!$B$165:$S$165</definedName>
    <definedName name="VPF43_125_110_DIAL">'Combivalve Preset'!$B$168:$S$168</definedName>
    <definedName name="VPF43_125_110_LH">'Combivalve Preset'!$B$169:$S$169</definedName>
    <definedName name="VPF43_125_135_DIAL">'Combivalve Preset'!$B$172:$S$172</definedName>
    <definedName name="VPF43_125_135_LH">'Combivalve Preset'!$B$173:$S$173</definedName>
    <definedName name="VPF43_150_148_DIAL">'Combivalve Preset'!$B$176:$S$176</definedName>
    <definedName name="VPF43_150_148_LH">'Combivalve Preset'!$B$177:$S$177</definedName>
    <definedName name="VPF43_150_195_DIAL">'Combivalve Preset'!$B$180:$S$180</definedName>
    <definedName name="VPF43_150_195_LH">'Combivalve Preset'!$B$181:$S$181</definedName>
    <definedName name="VPF43_50_16_DIAL">'Combivalve Preset'!$B$136:$S$136</definedName>
    <definedName name="VPF43_50_16_LH">'Combivalve Preset'!$B$137:$S$137</definedName>
    <definedName name="VPF43_50_25_DIAL">'Combivalve Preset'!$B$140:$S$140</definedName>
    <definedName name="VPF43_50_25_LH">'Combivalve Preset'!$B$141:$S$141</definedName>
    <definedName name="VPF43_65_24_DIAL">'Combivalve Preset'!$B$144:$S$144</definedName>
    <definedName name="VPF43_65_24_LH">'Combivalve Preset'!$B$145:$S$145</definedName>
    <definedName name="VPF43_65_35_DIAL">'Combivalve Preset'!$B$148:$S$148</definedName>
    <definedName name="VPF43_65_35_LH">'Combivalve Preset'!$B$149:$S$149</definedName>
    <definedName name="VPF43_80_35_DIAL">'Combivalve Preset'!$B$152:$S$152</definedName>
    <definedName name="VPF43_80_35_LH">'Combivalve Preset'!$B$153:$S$153</definedName>
    <definedName name="VPF43_80_45_DIAL">'Combivalve Preset'!$B$156:$S$156</definedName>
    <definedName name="VPF43_80_45_LH">'Combivalve Preset'!$B$157:$S$157</definedName>
    <definedName name="VPF53_100_70_DIAL">'Combivalve Preset'!$B$208:$S$208</definedName>
    <definedName name="VPF53_100_70_LH">'Combivalve Preset'!$B$209:$S$209</definedName>
    <definedName name="VPF53_100_90_DIAL">'Combivalve Preset'!$B$212:$S$212</definedName>
    <definedName name="VPF53_100_90_LH">'Combivalve Preset'!$B$213:$S$213</definedName>
    <definedName name="VPF53_125_110_DIAL">'Combivalve Preset'!$B$216:$S$216</definedName>
    <definedName name="VPF53_125_110_LH">'Combivalve Preset'!$B$217:$S$217</definedName>
    <definedName name="VPF53_125_135_DIAL">'Combivalve Preset'!$B$220:$S$220</definedName>
    <definedName name="VPF53_125_135_LH">'Combivalve Preset'!$B$221:$S$221</definedName>
    <definedName name="VPF53_150_148_DIAL">'Combivalve Preset'!$B$224:$S$224</definedName>
    <definedName name="VPF53_150_148_LH">'Combivalve Preset'!$B$225:$S$225</definedName>
    <definedName name="VPF53_150_195_DIAL">'Combivalve Preset'!$B$228:$S$228</definedName>
    <definedName name="VPF53_150_195_LH">'Combivalve Preset'!$B$229:$S$229</definedName>
    <definedName name="VPF53_50_16_DIAL">'Combivalve Preset'!$B$184:$S$184</definedName>
    <definedName name="VPF53_50_16_LH">'Combivalve Preset'!$B$185:$S$185</definedName>
    <definedName name="VPF53_50_25_DIAL">'Combivalve Preset'!$B$188:$S$188</definedName>
    <definedName name="VPF53_50_25_LH">'Combivalve Preset'!$B$189:$S$189</definedName>
    <definedName name="VPF53_65_24_DIAL">'Combivalve Preset'!$B$192:$S$192</definedName>
    <definedName name="VPF53_65_24_LH">'Combivalve Preset'!$B$193:$S$193</definedName>
    <definedName name="VPF53_65_35_DIAL">'Combivalve Preset'!$B$196:$S$196</definedName>
    <definedName name="VPF53_65_35_LH">'Combivalve Preset'!$B$197:$S$197</definedName>
    <definedName name="VPF53_80_35_DIAL">'Combivalve Preset'!$B$200:$S$200</definedName>
    <definedName name="VPF53_80_35_LH">'Combivalve Preset'!$B$201:$S$201</definedName>
    <definedName name="VPF53_80_45_DIAL">'Combivalve Preset'!$B$204:$S$204</definedName>
    <definedName name="VPF53_80_45_LH">'Combivalve Preset'!$B$205:$S$205</definedName>
    <definedName name="VPI45_40_7_DIAL">'Combivalve Preset'!$B$126:$S$126</definedName>
    <definedName name="VPI45_40_7_LH">'Combivalve Preset'!$B$127:$S$127</definedName>
    <definedName name="VPI45_50_8.5_DIAL">'Combivalve Preset'!$B$130:$S$130</definedName>
    <definedName name="VPI45_50_8.5_LH">'Combivalve Preset'!$B$131:$S$131</definedName>
    <definedName name="VPI46_15_0.2_DIAL">'Combivalve Preset'!$A$100:$S$100</definedName>
    <definedName name="VPI46_15_0.2_LH">'Combivalve Preset'!$A$101:$S$101</definedName>
    <definedName name="VPI46_15_0.6_DIAL">'Combivalve Preset'!$A$104:$S$104</definedName>
    <definedName name="VPI46_15_0.6_LH">'Combivalve Preset'!$A$105:$S$105</definedName>
    <definedName name="VPI46_20_1.4_DIAL">'Combivalve Preset'!$B$108:$S$108</definedName>
    <definedName name="VPI46_20_1.4_DIALSTA">'Combivalve Preset'!$B$112:$S$112</definedName>
    <definedName name="VPI46_20_1.4_LH">'Combivalve Preset'!$B$109:$S$109</definedName>
    <definedName name="VPI46_20_1.4_LHSTA">'Combivalve Preset'!$B$113:$S$113</definedName>
    <definedName name="VPI46_25_3.6_DIAL">'Combivalve Preset'!$B$116:$S$116</definedName>
    <definedName name="VPI46_25_3.6_LH">'Combivalve Preset'!$B$117:$S$117</definedName>
    <definedName name="VPI46_32_4_DIAL">'Combivalve Preset'!$B$120:$S$120</definedName>
    <definedName name="VPI46_32_4_LH">'Combivalve Preset'!$B$121:$S$121</definedName>
    <definedName name="VStock">'Stock List'!$D$9:$D$210</definedName>
  </definedNames>
  <calcPr calcId="145621"/>
</workbook>
</file>

<file path=xl/calcChain.xml><?xml version="1.0" encoding="utf-8"?>
<calcChain xmlns="http://schemas.openxmlformats.org/spreadsheetml/2006/main">
  <c r="Q12" i="1" l="1"/>
  <c r="K12" i="1"/>
  <c r="R12" i="1" s="1"/>
  <c r="F12" i="1"/>
  <c r="Q11" i="1"/>
  <c r="K11" i="1"/>
  <c r="R11" i="1" s="1"/>
  <c r="F11" i="1"/>
  <c r="Q10" i="1"/>
  <c r="K10" i="1"/>
  <c r="R10" i="1" s="1"/>
  <c r="F10" i="1"/>
  <c r="Q9" i="1"/>
  <c r="K9" i="1"/>
  <c r="R9" i="1" s="1"/>
  <c r="F9" i="1"/>
  <c r="Q8" i="1"/>
  <c r="K8" i="1"/>
  <c r="R8" i="1" s="1"/>
  <c r="F8" i="1"/>
  <c r="L10" i="3" l="1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9" i="3"/>
  <c r="K36" i="1" l="1"/>
  <c r="R36" i="1" s="1"/>
  <c r="F36" i="1"/>
  <c r="K35" i="1"/>
  <c r="R35" i="1" s="1"/>
  <c r="F35" i="1"/>
  <c r="K34" i="1"/>
  <c r="R34" i="1" s="1"/>
  <c r="F34" i="1"/>
  <c r="K33" i="1"/>
  <c r="R33" i="1" s="1"/>
  <c r="F33" i="1"/>
  <c r="K21" i="1" l="1"/>
  <c r="R21" i="1" s="1"/>
  <c r="K22" i="1"/>
  <c r="R22" i="1" s="1"/>
  <c r="K23" i="1"/>
  <c r="R23" i="1" s="1"/>
  <c r="K24" i="1"/>
  <c r="R24" i="1" s="1"/>
  <c r="K25" i="1"/>
  <c r="R25" i="1" s="1"/>
  <c r="K26" i="1"/>
  <c r="R26" i="1" s="1"/>
  <c r="K27" i="1"/>
  <c r="R27" i="1" s="1"/>
  <c r="K28" i="1"/>
  <c r="R28" i="1" s="1"/>
  <c r="K29" i="1"/>
  <c r="R29" i="1" s="1"/>
  <c r="K30" i="1"/>
  <c r="R30" i="1" s="1"/>
  <c r="K31" i="1"/>
  <c r="R31" i="1" s="1"/>
  <c r="K32" i="1"/>
  <c r="R32" i="1" s="1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B4" i="8"/>
  <c r="C4" i="8"/>
  <c r="A4" i="8"/>
  <c r="W229" i="6" l="1"/>
  <c r="W228" i="6"/>
  <c r="W225" i="6"/>
  <c r="W224" i="6"/>
  <c r="W181" i="6"/>
  <c r="W180" i="6"/>
  <c r="X180" i="6" s="1"/>
  <c r="W177" i="6"/>
  <c r="W176" i="6"/>
  <c r="M1" i="7"/>
  <c r="P1" i="1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F37" i="1"/>
  <c r="K37" i="1"/>
  <c r="R37" i="1" s="1"/>
  <c r="E40" i="1"/>
  <c r="W221" i="6"/>
  <c r="W220" i="6"/>
  <c r="W217" i="6"/>
  <c r="W216" i="6"/>
  <c r="W215" i="6"/>
  <c r="W173" i="6"/>
  <c r="W172" i="6"/>
  <c r="W169" i="6"/>
  <c r="W168" i="6"/>
  <c r="W167" i="6"/>
  <c r="W113" i="6"/>
  <c r="X112" i="6" s="1"/>
  <c r="W112" i="6"/>
  <c r="W213" i="6"/>
  <c r="W212" i="6"/>
  <c r="W209" i="6"/>
  <c r="W208" i="6"/>
  <c r="W205" i="6"/>
  <c r="W204" i="6"/>
  <c r="W201" i="6"/>
  <c r="W200" i="6"/>
  <c r="W197" i="6"/>
  <c r="W196" i="6"/>
  <c r="W193" i="6"/>
  <c r="W192" i="6"/>
  <c r="W189" i="6"/>
  <c r="W188" i="6"/>
  <c r="W185" i="6"/>
  <c r="W184" i="6"/>
  <c r="W165" i="6"/>
  <c r="W164" i="6"/>
  <c r="W161" i="6"/>
  <c r="W160" i="6"/>
  <c r="W159" i="6"/>
  <c r="W157" i="6"/>
  <c r="W156" i="6"/>
  <c r="W153" i="6"/>
  <c r="W152" i="6"/>
  <c r="W149" i="6"/>
  <c r="W148" i="6"/>
  <c r="W145" i="6"/>
  <c r="W144" i="6"/>
  <c r="W141" i="6"/>
  <c r="W140" i="6"/>
  <c r="W137" i="6"/>
  <c r="W136" i="6"/>
  <c r="W131" i="6"/>
  <c r="W130" i="6"/>
  <c r="W127" i="6"/>
  <c r="W126" i="6"/>
  <c r="W121" i="6"/>
  <c r="W120" i="6"/>
  <c r="W117" i="6"/>
  <c r="W116" i="6"/>
  <c r="W109" i="6"/>
  <c r="W108" i="6"/>
  <c r="W105" i="6"/>
  <c r="W104" i="6"/>
  <c r="W101" i="6"/>
  <c r="W100" i="6"/>
  <c r="D260" i="7"/>
  <c r="X160" i="6" l="1"/>
  <c r="X184" i="6"/>
  <c r="X192" i="6"/>
  <c r="X200" i="6"/>
  <c r="X208" i="6"/>
  <c r="X108" i="6"/>
  <c r="X176" i="6"/>
  <c r="X228" i="6"/>
  <c r="X224" i="6"/>
  <c r="X216" i="6"/>
  <c r="X220" i="6"/>
  <c r="X172" i="6"/>
  <c r="X168" i="6"/>
  <c r="X104" i="6"/>
  <c r="X152" i="6"/>
  <c r="X116" i="6"/>
  <c r="X136" i="6"/>
  <c r="X188" i="6"/>
  <c r="X212" i="6"/>
  <c r="X126" i="6"/>
  <c r="X144" i="6"/>
  <c r="X164" i="6"/>
  <c r="X196" i="6"/>
  <c r="X204" i="6"/>
  <c r="X100" i="6"/>
  <c r="X130" i="6"/>
  <c r="X140" i="6"/>
  <c r="X148" i="6"/>
  <c r="X156" i="6"/>
  <c r="X120" i="6"/>
  <c r="Z93" i="6"/>
  <c r="Z92" i="6"/>
  <c r="Z90" i="6"/>
  <c r="Z89" i="6"/>
  <c r="Z87" i="6"/>
  <c r="Z86" i="6"/>
  <c r="Z81" i="6"/>
  <c r="Z80" i="6"/>
  <c r="Z78" i="6"/>
  <c r="Z77" i="6"/>
  <c r="Z75" i="6"/>
  <c r="Z74" i="6"/>
  <c r="Z68" i="6"/>
  <c r="Z67" i="6"/>
  <c r="Z65" i="6"/>
  <c r="Z64" i="6"/>
  <c r="Z62" i="6"/>
  <c r="Z61" i="6"/>
  <c r="Z56" i="6"/>
  <c r="Z55" i="6"/>
  <c r="Z53" i="6"/>
  <c r="Z52" i="6"/>
  <c r="Z50" i="6"/>
  <c r="Z49" i="6"/>
  <c r="Z8" i="6"/>
  <c r="Z10" i="6"/>
  <c r="Z11" i="6"/>
  <c r="Z13" i="6"/>
  <c r="Z14" i="6"/>
  <c r="Z18" i="6"/>
  <c r="Z19" i="6"/>
  <c r="Z21" i="6"/>
  <c r="Z22" i="6"/>
  <c r="Z24" i="6"/>
  <c r="Z25" i="6"/>
  <c r="Z27" i="6"/>
  <c r="Z28" i="6"/>
  <c r="Z30" i="6"/>
  <c r="Z31" i="6"/>
  <c r="Z33" i="6"/>
  <c r="Z34" i="6"/>
  <c r="Z36" i="6"/>
  <c r="Z37" i="6"/>
  <c r="Z39" i="6"/>
  <c r="Z40" i="6"/>
  <c r="Z42" i="6"/>
  <c r="Z43" i="6"/>
  <c r="Z7" i="6"/>
  <c r="B2" i="6" a="1"/>
  <c r="B2" i="6" s="1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8" i="7"/>
  <c r="K1" i="3"/>
  <c r="M1" i="3"/>
  <c r="E3" i="3"/>
  <c r="L3" i="3"/>
  <c r="E4" i="3"/>
  <c r="L4" i="3"/>
  <c r="F21" i="1"/>
  <c r="F22" i="1"/>
  <c r="F23" i="1"/>
  <c r="F24" i="1"/>
  <c r="F25" i="1"/>
  <c r="F26" i="1"/>
  <c r="F27" i="1"/>
  <c r="F28" i="1"/>
  <c r="F29" i="1"/>
  <c r="F30" i="1"/>
  <c r="F31" i="1"/>
  <c r="F32" i="1"/>
  <c r="I1" i="5"/>
  <c r="K1" i="5"/>
  <c r="B3" i="5"/>
  <c r="J3" i="5"/>
  <c r="B4" i="5"/>
  <c r="J4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308" i="5"/>
  <c r="E311" i="5"/>
  <c r="AA42" i="6" l="1"/>
  <c r="AA39" i="6"/>
  <c r="AA33" i="6"/>
  <c r="AA27" i="6"/>
  <c r="AA21" i="6"/>
  <c r="AA13" i="6"/>
  <c r="AA30" i="6"/>
  <c r="AA18" i="6"/>
  <c r="AA36" i="6"/>
  <c r="AA24" i="6"/>
  <c r="AA10" i="6"/>
  <c r="AA7" i="6"/>
</calcChain>
</file>

<file path=xl/comments1.xml><?xml version="1.0" encoding="utf-8"?>
<comments xmlns="http://schemas.openxmlformats.org/spreadsheetml/2006/main">
  <authors>
    <author>John Walkenbach</author>
  </authors>
  <commentList>
    <comment ref="A1" authorId="0">
      <text>
        <r>
          <rPr>
            <sz val="8"/>
            <color indexed="81"/>
            <rFont val="Tahoma"/>
            <family val="2"/>
          </rPr>
          <t xml:space="preserve">1 for Menu
2 for MenuItem
3 for SubMenu Item
</t>
        </r>
      </text>
    </comment>
    <comment ref="B1" authorId="0">
      <text>
        <r>
          <rPr>
            <sz val="8"/>
            <color indexed="81"/>
            <rFont val="Tahoma"/>
            <family val="2"/>
          </rPr>
          <t xml:space="preserve">Menu Caption.
Use &amp; for an underlined character
</t>
        </r>
      </text>
    </comment>
    <comment ref="C1" authorId="0">
      <text>
        <r>
          <rPr>
            <sz val="8"/>
            <color indexed="81"/>
            <rFont val="Tahoma"/>
            <family val="2"/>
          </rPr>
          <t xml:space="preserve">If Level 1,  the menu position.
If Level 2 or 3,  the macro to execute.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" authorId="0">
      <text>
        <r>
          <rPr>
            <sz val="8"/>
            <color indexed="81"/>
            <rFont val="Tahoma"/>
            <family val="2"/>
          </rPr>
          <t xml:space="preserve">TRUE if you want a divider before the Menu Item or SubMenu Item
</t>
        </r>
      </text>
    </comment>
    <comment ref="E1" authorId="0">
      <text>
        <r>
          <rPr>
            <sz val="8"/>
            <color indexed="81"/>
            <rFont val="Tahoma"/>
            <family val="2"/>
          </rPr>
          <t xml:space="preserve">Code number for the image to be displayed next to the Menu Item or SubMenu Item (Optional)
</t>
        </r>
      </text>
    </comment>
  </commentList>
</comments>
</file>

<file path=xl/sharedStrings.xml><?xml version="1.0" encoding="utf-8"?>
<sst xmlns="http://schemas.openxmlformats.org/spreadsheetml/2006/main" count="2877" uniqueCount="1769">
  <si>
    <t>Valve Kv</t>
  </si>
  <si>
    <t>Nom. Size</t>
  </si>
  <si>
    <t>Model</t>
  </si>
  <si>
    <t>Type</t>
  </si>
  <si>
    <t>VALVE SELECTION</t>
  </si>
  <si>
    <t>ACTUATOR SELECTION</t>
  </si>
  <si>
    <t>Ports</t>
  </si>
  <si>
    <t>Qty</t>
  </si>
  <si>
    <t>ID</t>
  </si>
  <si>
    <t>Total sets of valves and actuators :</t>
  </si>
  <si>
    <t>This proposal is in accordance with SBT conditions of sale.</t>
  </si>
  <si>
    <t>FITTINGS</t>
  </si>
  <si>
    <t>Level</t>
  </si>
  <si>
    <t>Caption</t>
  </si>
  <si>
    <t>Position/Macro</t>
  </si>
  <si>
    <t>Divider</t>
  </si>
  <si>
    <t>FaceID</t>
  </si>
  <si>
    <t>VVG41</t>
  </si>
  <si>
    <t>VXG41</t>
  </si>
  <si>
    <t>VVP47</t>
  </si>
  <si>
    <t>VXP47</t>
  </si>
  <si>
    <t>Siemens Valves</t>
  </si>
  <si>
    <t>VVP47_0P25</t>
  </si>
  <si>
    <t>VVP47_0P63</t>
  </si>
  <si>
    <t>VVP47_1</t>
  </si>
  <si>
    <t>VVP47_1P6</t>
  </si>
  <si>
    <t>VVP47_2P5</t>
  </si>
  <si>
    <t>VXP47_0P25</t>
  </si>
  <si>
    <t>VXP47_0P63</t>
  </si>
  <si>
    <t>VXP47_1</t>
  </si>
  <si>
    <t>VXP47_1P6</t>
  </si>
  <si>
    <t>VXP47_2P5</t>
  </si>
  <si>
    <t>VVP45</t>
  </si>
  <si>
    <t>VXP45</t>
  </si>
  <si>
    <t>VVP45_0P25</t>
  </si>
  <si>
    <t>VVP45_0P4</t>
  </si>
  <si>
    <t>VVP45_0P63</t>
  </si>
  <si>
    <t>VVP45_1</t>
  </si>
  <si>
    <t>VVP45_1P6</t>
  </si>
  <si>
    <t>VVP45_2P5</t>
  </si>
  <si>
    <t>VVP45_4</t>
  </si>
  <si>
    <t>VXP45_0P25</t>
  </si>
  <si>
    <t>VXP45_0P4</t>
  </si>
  <si>
    <t>VXP45_0P63</t>
  </si>
  <si>
    <t>VXP45_1</t>
  </si>
  <si>
    <t>VXP45_1P6</t>
  </si>
  <si>
    <t>VXP45_2P5</t>
  </si>
  <si>
    <t>VXP45_4</t>
  </si>
  <si>
    <t>VXP45_6P3</t>
  </si>
  <si>
    <t>VXP45_10</t>
  </si>
  <si>
    <t>VXP45_16</t>
  </si>
  <si>
    <t>VVG44</t>
  </si>
  <si>
    <t>VVP45_6P3</t>
  </si>
  <si>
    <t>VVP45_10</t>
  </si>
  <si>
    <t>VVG44_0P25</t>
  </si>
  <si>
    <t>VVG44_0P4</t>
  </si>
  <si>
    <t>VVG44_0P63</t>
  </si>
  <si>
    <t>VVG44_1</t>
  </si>
  <si>
    <t>VVG44_1P6</t>
  </si>
  <si>
    <t>VVG44_2P5</t>
  </si>
  <si>
    <t>VVG44_4</t>
  </si>
  <si>
    <t>VVG44_6P3</t>
  </si>
  <si>
    <t>VVG44_10</t>
  </si>
  <si>
    <t>VVG44_16</t>
  </si>
  <si>
    <t>VVG44_25</t>
  </si>
  <si>
    <t>VXG44</t>
  </si>
  <si>
    <t>VXG44_0P25</t>
  </si>
  <si>
    <t>VXG44_0P4</t>
  </si>
  <si>
    <t>VXG44_0P63</t>
  </si>
  <si>
    <t>VXG44_1</t>
  </si>
  <si>
    <t>VXG44_1P6</t>
  </si>
  <si>
    <t>VXG44_2P5</t>
  </si>
  <si>
    <t>VXG44_4</t>
  </si>
  <si>
    <t>VXG44_6P3</t>
  </si>
  <si>
    <t>VXG44_10</t>
  </si>
  <si>
    <t>VXG44_16</t>
  </si>
  <si>
    <t>VXG44_25</t>
  </si>
  <si>
    <t>VVI41</t>
  </si>
  <si>
    <t>VVI41_2P5</t>
  </si>
  <si>
    <t>VVI41_4</t>
  </si>
  <si>
    <t>VVI41_6P3</t>
  </si>
  <si>
    <t>VVI41_10</t>
  </si>
  <si>
    <t>VVI41_16</t>
  </si>
  <si>
    <t>VVI41_25</t>
  </si>
  <si>
    <t>VVI41_40</t>
  </si>
  <si>
    <t>VXI41</t>
  </si>
  <si>
    <t>VXI41_2P5</t>
  </si>
  <si>
    <t>VXI41_4</t>
  </si>
  <si>
    <t>VXI41_6P3</t>
  </si>
  <si>
    <t>VXI41_10</t>
  </si>
  <si>
    <t>VXI41_16</t>
  </si>
  <si>
    <t>VXI41_25</t>
  </si>
  <si>
    <t>VXI41_40</t>
  </si>
  <si>
    <t>VVF31</t>
  </si>
  <si>
    <t>VXF31</t>
  </si>
  <si>
    <t>VVF31_31</t>
  </si>
  <si>
    <t>VVF31_49</t>
  </si>
  <si>
    <t>VVF31_78</t>
  </si>
  <si>
    <t>VVF31_124</t>
  </si>
  <si>
    <t>VVF31_200</t>
  </si>
  <si>
    <t>VVF31_300</t>
  </si>
  <si>
    <t>VXF31_31</t>
  </si>
  <si>
    <t>VXF31_49</t>
  </si>
  <si>
    <t>VXF31_78</t>
  </si>
  <si>
    <t>VXF31_124</t>
  </si>
  <si>
    <t>VXF31_200</t>
  </si>
  <si>
    <t>VXF31_300</t>
  </si>
  <si>
    <t>1.4 (15mm)</t>
  </si>
  <si>
    <t>2.2 (15mm)</t>
  </si>
  <si>
    <t>3.5 (15mm)</t>
  </si>
  <si>
    <t>22 (25mm)</t>
  </si>
  <si>
    <t>14 (30mm)</t>
  </si>
  <si>
    <t>54 (50mm)</t>
  </si>
  <si>
    <t>8.6 (25mm)</t>
  </si>
  <si>
    <t>22 (40mm)</t>
  </si>
  <si>
    <t>35 (50mm)</t>
  </si>
  <si>
    <t>b599_10257</t>
  </si>
  <si>
    <t>b599_10260</t>
  </si>
  <si>
    <t>b599_10263</t>
  </si>
  <si>
    <t>b599_10266</t>
  </si>
  <si>
    <t>50 (40mm)</t>
  </si>
  <si>
    <t>85 (50mm)</t>
  </si>
  <si>
    <t>215 (65mm)</t>
  </si>
  <si>
    <t>420 (80mm)</t>
  </si>
  <si>
    <t>800 (100mm)</t>
  </si>
  <si>
    <t>VXG41_1P6</t>
  </si>
  <si>
    <t>VXG41_2P5</t>
  </si>
  <si>
    <t>VXG41_4</t>
  </si>
  <si>
    <t>VXG41_6P3</t>
  </si>
  <si>
    <t>VXG41_10</t>
  </si>
  <si>
    <t>VXG41_16</t>
  </si>
  <si>
    <t>VXG41_25</t>
  </si>
  <si>
    <t>VXG41_40</t>
  </si>
  <si>
    <t>VVG41_0P63</t>
  </si>
  <si>
    <t>VVG41_1</t>
  </si>
  <si>
    <t>VVG41_1P6</t>
  </si>
  <si>
    <t>VVG41_2P5</t>
  </si>
  <si>
    <t>VVG41_4</t>
  </si>
  <si>
    <t>VVG41_6P3</t>
  </si>
  <si>
    <t>VVG41_10</t>
  </si>
  <si>
    <t>VVG41_16</t>
  </si>
  <si>
    <t>VVG41_25</t>
  </si>
  <si>
    <t>VVG41_40</t>
  </si>
  <si>
    <t>8.6 (20mm)</t>
  </si>
  <si>
    <t>VVP47_0P4</t>
  </si>
  <si>
    <t>VXP47_0P4</t>
  </si>
  <si>
    <t>Product</t>
  </si>
  <si>
    <t>Quantity</t>
  </si>
  <si>
    <t>Date</t>
  </si>
  <si>
    <t>Damper Dimensions</t>
  </si>
  <si>
    <r>
      <t>Damper Area, m</t>
    </r>
    <r>
      <rPr>
        <b/>
        <vertAlign val="superscript"/>
        <sz val="10"/>
        <rFont val="Arial"/>
        <family val="2"/>
      </rPr>
      <t>2</t>
    </r>
  </si>
  <si>
    <t>Actuator Model</t>
  </si>
  <si>
    <t>Width,mm</t>
  </si>
  <si>
    <t>Height,mm</t>
  </si>
  <si>
    <t>Siemens Dampers</t>
  </si>
  <si>
    <t>1.6 (15mm)</t>
  </si>
  <si>
    <t>2.5 (15mm)</t>
  </si>
  <si>
    <t>4 (15mm)</t>
  </si>
  <si>
    <t>6.3 (20mm)</t>
  </si>
  <si>
    <t>63 (50mm)</t>
  </si>
  <si>
    <t>VAI61_15_4</t>
  </si>
  <si>
    <t>VAI61_15_1P6</t>
  </si>
  <si>
    <t>VAI61_15_2P5</t>
  </si>
  <si>
    <t>VAI61_20_6P3</t>
  </si>
  <si>
    <t>VAI61_50_63</t>
  </si>
  <si>
    <t>2 POS</t>
  </si>
  <si>
    <t>3 POS</t>
  </si>
  <si>
    <t>0-10V</t>
  </si>
  <si>
    <t>GQD121_1A</t>
  </si>
  <si>
    <t>GQD131_1A</t>
  </si>
  <si>
    <t>GQD161_1A</t>
  </si>
  <si>
    <t>GQD321_1A</t>
  </si>
  <si>
    <t>GQD 2Nm 0.3m² (SR)</t>
  </si>
  <si>
    <t>GDB 5Nm 0.8m² (NSR)</t>
  </si>
  <si>
    <t>GDB131_1E</t>
  </si>
  <si>
    <t>GDB161_1E</t>
  </si>
  <si>
    <t>GLB131_1E</t>
  </si>
  <si>
    <t>GLB161_1E</t>
  </si>
  <si>
    <t>GLB331_1E</t>
  </si>
  <si>
    <t>GDB331_1E</t>
  </si>
  <si>
    <t>GLB 10Nm 1.5m² (NSR)</t>
  </si>
  <si>
    <t>GMA 7Nm 1.5m² (SR)</t>
  </si>
  <si>
    <t>GMA121_1E</t>
  </si>
  <si>
    <t>GMA131_1E</t>
  </si>
  <si>
    <t>GMA161_1E</t>
  </si>
  <si>
    <t>GMA321_1E</t>
  </si>
  <si>
    <t>GCA121_1E</t>
  </si>
  <si>
    <t>GCA131_1E</t>
  </si>
  <si>
    <t>GCA161_1E</t>
  </si>
  <si>
    <t>GCA321_1E</t>
  </si>
  <si>
    <t>GCA 18Nm 3m² (SR)</t>
  </si>
  <si>
    <t>SPST</t>
  </si>
  <si>
    <t>GSD 2Nm 0.3m² (NSR)</t>
  </si>
  <si>
    <t>GSD121_1A</t>
  </si>
  <si>
    <t>GSD321_1A</t>
  </si>
  <si>
    <t>GEB131_1E</t>
  </si>
  <si>
    <t>GEB161_1E</t>
  </si>
  <si>
    <t>GEB331_1E</t>
  </si>
  <si>
    <t>GEB 15Nm 3m² (NSR)</t>
  </si>
  <si>
    <t>GBB131_1E</t>
  </si>
  <si>
    <t>GBB161_1E</t>
  </si>
  <si>
    <t>GBB331_1E</t>
  </si>
  <si>
    <t>GBB 25Nm 4m² (NSR)</t>
  </si>
  <si>
    <t>GIB131_1E</t>
  </si>
  <si>
    <t>GIB161_1E</t>
  </si>
  <si>
    <t>GIB331_1E</t>
  </si>
  <si>
    <t>GIB 35Nm 6m² (NSR)</t>
  </si>
  <si>
    <t>VAI-2W Ball</t>
  </si>
  <si>
    <t>Torque</t>
  </si>
  <si>
    <t>Spring Return</t>
  </si>
  <si>
    <t>Operating Voltage</t>
  </si>
  <si>
    <t>Positioning Signal</t>
  </si>
  <si>
    <t>2 POS (230V)</t>
  </si>
  <si>
    <t>SPST (230V)</t>
  </si>
  <si>
    <t>3 POS (230V)</t>
  </si>
  <si>
    <t>GPA121_1E</t>
  </si>
  <si>
    <t>GPA161_1E</t>
  </si>
  <si>
    <t>GPA321_1E</t>
  </si>
  <si>
    <t>GPA 4Nm 0.8m² (SR)</t>
  </si>
  <si>
    <t>Valve Stock List</t>
  </si>
  <si>
    <t>Damper Stock List</t>
  </si>
  <si>
    <t>STOP</t>
  </si>
  <si>
    <t>VVF31_40</t>
  </si>
  <si>
    <t>VVF31_63</t>
  </si>
  <si>
    <t>VVF31_100</t>
  </si>
  <si>
    <t>VVF31_160</t>
  </si>
  <si>
    <t>VVF31_250</t>
  </si>
  <si>
    <t>VVF31_315</t>
  </si>
  <si>
    <t>VXF31_40</t>
  </si>
  <si>
    <t>VXF31_63</t>
  </si>
  <si>
    <t>VXF31_100</t>
  </si>
  <si>
    <t>VXF31_160</t>
  </si>
  <si>
    <t>VXF31_250</t>
  </si>
  <si>
    <t>VXF31_315</t>
  </si>
  <si>
    <t>Flow Rate L/s</t>
  </si>
  <si>
    <t>kPa, Design</t>
  </si>
  <si>
    <t>Close-Off (kPa)</t>
  </si>
  <si>
    <t>Max Valve DP (kPa)</t>
  </si>
  <si>
    <t>CHW:</t>
  </si>
  <si>
    <t>20kPa</t>
  </si>
  <si>
    <t>30kPa</t>
  </si>
  <si>
    <t>b599_10303</t>
  </si>
  <si>
    <t>b599_10304</t>
  </si>
  <si>
    <t>b599_10305</t>
  </si>
  <si>
    <t>b599_10309</t>
  </si>
  <si>
    <t>b599_10314</t>
  </si>
  <si>
    <t>b599_10317</t>
  </si>
  <si>
    <t>b599_10323</t>
  </si>
  <si>
    <t>b599_10328</t>
  </si>
  <si>
    <t>3.4 (15mm)</t>
  </si>
  <si>
    <t>34 (40mm)</t>
  </si>
  <si>
    <t>b171A_10303</t>
  </si>
  <si>
    <t>b171A_10304</t>
  </si>
  <si>
    <t>b171A_10305</t>
  </si>
  <si>
    <t>b171A_10309</t>
  </si>
  <si>
    <t>b171A_10314</t>
  </si>
  <si>
    <t>b171A_10317</t>
  </si>
  <si>
    <t>b171C_10303</t>
  </si>
  <si>
    <t>b171C_10304</t>
  </si>
  <si>
    <t>b171C_10305</t>
  </si>
  <si>
    <t>b171C_10309</t>
  </si>
  <si>
    <t>b171C_10314</t>
  </si>
  <si>
    <t>b171C_10317</t>
  </si>
  <si>
    <t>b171B_10323</t>
  </si>
  <si>
    <t>b171B_10328</t>
  </si>
  <si>
    <t>b171D_10323</t>
  </si>
  <si>
    <t>b171D_10328</t>
  </si>
  <si>
    <t>b171A_10257</t>
  </si>
  <si>
    <t>b171B_10263</t>
  </si>
  <si>
    <t>b171B_10266</t>
  </si>
  <si>
    <t>b171D_10263</t>
  </si>
  <si>
    <t>b171D_10266</t>
  </si>
  <si>
    <t>2W Ball 599... Valve Only</t>
  </si>
  <si>
    <t>2W Ball 171A/B... 3-Pos</t>
  </si>
  <si>
    <t>2W Ball 171C/D... 0-10V</t>
  </si>
  <si>
    <t>3W Ball 599... Valve Only</t>
  </si>
  <si>
    <t>3W Ball 171A/B... 3-Pos</t>
  </si>
  <si>
    <t>3W Ball 171C/D... 0-10V</t>
  </si>
  <si>
    <t>Siemens BT Products</t>
  </si>
  <si>
    <t>Total sets of damper actuators :</t>
  </si>
  <si>
    <t>0.34 (15mm)</t>
  </si>
  <si>
    <t>0.54 (15mm)</t>
  </si>
  <si>
    <t>0.86 (15mm)</t>
  </si>
  <si>
    <t>8.6* (15mm)</t>
  </si>
  <si>
    <t>14* (20mm)</t>
  </si>
  <si>
    <t>14 (25mm)</t>
  </si>
  <si>
    <t>b599_10259</t>
  </si>
  <si>
    <t>22* (25mm)</t>
  </si>
  <si>
    <t>b599_10261</t>
  </si>
  <si>
    <t>35* (30mm)</t>
  </si>
  <si>
    <t>14 (40mm)</t>
  </si>
  <si>
    <t>b599_10264</t>
  </si>
  <si>
    <t>54* (40mm)</t>
  </si>
  <si>
    <t>b599_10267</t>
  </si>
  <si>
    <t>86* (50mm)</t>
  </si>
  <si>
    <t>b171D_10262</t>
  </si>
  <si>
    <t>b599_10300</t>
  </si>
  <si>
    <t>b599_10301</t>
  </si>
  <si>
    <t>b599_10302</t>
  </si>
  <si>
    <t>b599_10306</t>
  </si>
  <si>
    <t>b599_10307</t>
  </si>
  <si>
    <t>b599_10308</t>
  </si>
  <si>
    <t>b599_10310</t>
  </si>
  <si>
    <t>b599_10311</t>
  </si>
  <si>
    <t>b599_10312</t>
  </si>
  <si>
    <t>b599_10313</t>
  </si>
  <si>
    <t>b599_10315</t>
  </si>
  <si>
    <t>b599_10316</t>
  </si>
  <si>
    <t>b599_10318</t>
  </si>
  <si>
    <t>b599_10319</t>
  </si>
  <si>
    <t>b599_10320</t>
  </si>
  <si>
    <t>b599_10321</t>
  </si>
  <si>
    <t>b599_10322</t>
  </si>
  <si>
    <t>b599_10326</t>
  </si>
  <si>
    <t>b599_10327</t>
  </si>
  <si>
    <t>b599_10330</t>
  </si>
  <si>
    <t>0.9 (15mm)</t>
  </si>
  <si>
    <t>5.4 (15mm)</t>
  </si>
  <si>
    <t xml:space="preserve"> 5.4 (20mm)</t>
  </si>
  <si>
    <t>14 (20mm)</t>
  </si>
  <si>
    <t>22* (20mm)</t>
  </si>
  <si>
    <t>9 (25mm)</t>
  </si>
  <si>
    <t>34 (25mm)</t>
  </si>
  <si>
    <t>54* (25mm)</t>
  </si>
  <si>
    <t>22 (30mm)</t>
  </si>
  <si>
    <t>34 (30mm)</t>
  </si>
  <si>
    <t>54 (30mm)</t>
  </si>
  <si>
    <t>90* (30mm)</t>
  </si>
  <si>
    <t>140* (40mm)</t>
  </si>
  <si>
    <t>34 (50mm)</t>
  </si>
  <si>
    <t>* - Uncharacterised</t>
  </si>
  <si>
    <t>b171A_10300</t>
  </si>
  <si>
    <t>b171A_10301</t>
  </si>
  <si>
    <t>b171A_10302</t>
  </si>
  <si>
    <t>b171A_10306</t>
  </si>
  <si>
    <t>b171A_10308</t>
  </si>
  <si>
    <t>b171A_10312</t>
  </si>
  <si>
    <t>b171A_10313</t>
  </si>
  <si>
    <t>b171A_10320</t>
  </si>
  <si>
    <t>b171B_10324</t>
  </si>
  <si>
    <t>b171C_10300</t>
  </si>
  <si>
    <t>b171C_10301</t>
  </si>
  <si>
    <t>b171C_10302</t>
  </si>
  <si>
    <t>b171C_10306</t>
  </si>
  <si>
    <t>b171C_10308</t>
  </si>
  <si>
    <t>b171C_10312</t>
  </si>
  <si>
    <t>b171C_10313</t>
  </si>
  <si>
    <t>b171C_10315</t>
  </si>
  <si>
    <t>b171C_10319</t>
  </si>
  <si>
    <t>b171C_10320</t>
  </si>
  <si>
    <t>b171D_10322</t>
  </si>
  <si>
    <t>63 (65mm)</t>
  </si>
  <si>
    <t>100 (80mm)</t>
  </si>
  <si>
    <t>160 (100mm)</t>
  </si>
  <si>
    <t>200 (125mm)</t>
  </si>
  <si>
    <t>360 (150mm)</t>
  </si>
  <si>
    <t>2W Ball Flanged VAF51… 3-Pos</t>
  </si>
  <si>
    <t>2W Ball Flanged VAF51… 0-10V</t>
  </si>
  <si>
    <t>VAF51_65_63_3P</t>
  </si>
  <si>
    <t>VAF51_80_100_3P</t>
  </si>
  <si>
    <t>VAF51_100_160_3P</t>
  </si>
  <si>
    <t>VAF51_125_200_3P</t>
  </si>
  <si>
    <t>VAF51_150_360_3P</t>
  </si>
  <si>
    <t>VAF51_65_63_010V</t>
  </si>
  <si>
    <t>VAF51_80_100_010V</t>
  </si>
  <si>
    <t>VAF51_100_160_010V</t>
  </si>
  <si>
    <t>VAF51_125_200_010V</t>
  </si>
  <si>
    <t>VAF51_150_360_010V</t>
  </si>
  <si>
    <t>VBI-3W Ball</t>
  </si>
  <si>
    <t>VBI61_15_1P6</t>
  </si>
  <si>
    <t>VBI61_15_2P5</t>
  </si>
  <si>
    <t>VBI61_15_4</t>
  </si>
  <si>
    <t>VBI61_20_6P3</t>
  </si>
  <si>
    <t>10 (25mm)</t>
  </si>
  <si>
    <t>16 (32mm)</t>
  </si>
  <si>
    <t>25 (40mm)</t>
  </si>
  <si>
    <t>40 (50mm)</t>
  </si>
  <si>
    <t>VBI61_50_40</t>
  </si>
  <si>
    <t>VBI61_40_25</t>
  </si>
  <si>
    <t>VBI61_32_16</t>
  </si>
  <si>
    <t>VBI61_25_10</t>
  </si>
  <si>
    <t>5.4 (20mm)</t>
  </si>
  <si>
    <t>GND121_1U</t>
  </si>
  <si>
    <t>GND321_1U</t>
  </si>
  <si>
    <t>GGD121_1U</t>
  </si>
  <si>
    <t>GGD321_1U</t>
  </si>
  <si>
    <t>GND 6Nm 1m² Fire/Smoke (SR)</t>
  </si>
  <si>
    <t>GGD 16Nm 3m² Fire/Smoke (SR)</t>
  </si>
  <si>
    <t>GND326_1U</t>
  </si>
  <si>
    <t>GND126_1U</t>
  </si>
  <si>
    <t>2 POS (Aux. Switches)</t>
  </si>
  <si>
    <t>2 POS (Aux. Switches, 230V)</t>
  </si>
  <si>
    <t>2-10V (US)</t>
  </si>
  <si>
    <t>GCA151_1U</t>
  </si>
  <si>
    <t>GMA151_1U</t>
  </si>
  <si>
    <t>65 (50mm)</t>
  </si>
  <si>
    <t>140 (65mm)</t>
  </si>
  <si>
    <t>210 (80mm)</t>
  </si>
  <si>
    <t>470 (100mm)</t>
  </si>
  <si>
    <t>750 (125mm)</t>
  </si>
  <si>
    <t>VVF43</t>
  </si>
  <si>
    <t>VXF43</t>
  </si>
  <si>
    <t>VVF43_200</t>
  </si>
  <si>
    <t>VVF43_50</t>
  </si>
  <si>
    <t>VVF43_63</t>
  </si>
  <si>
    <t>VVF43_80</t>
  </si>
  <si>
    <t>VVF43_100</t>
  </si>
  <si>
    <t>VVF43_125</t>
  </si>
  <si>
    <t>VVF43_160</t>
  </si>
  <si>
    <t>VVF43_250</t>
  </si>
  <si>
    <t>VVF43_315</t>
  </si>
  <si>
    <t>VVF43_400</t>
  </si>
  <si>
    <t>VXF43_63</t>
  </si>
  <si>
    <t>VXF43_100</t>
  </si>
  <si>
    <t>VXF43_160</t>
  </si>
  <si>
    <t>VXF43_250</t>
  </si>
  <si>
    <t>VXF43_400</t>
  </si>
  <si>
    <t>50 (65mm)</t>
  </si>
  <si>
    <t>80 (80mm)</t>
  </si>
  <si>
    <t>125 (100mm)</t>
  </si>
  <si>
    <t>250 (125mm)</t>
  </si>
  <si>
    <t>315 (150mm)</t>
  </si>
  <si>
    <t>400 (150mm)</t>
  </si>
  <si>
    <t>31 (50mm)</t>
  </si>
  <si>
    <t>49 (65mm)</t>
  </si>
  <si>
    <t>78 (80mm)</t>
  </si>
  <si>
    <t>124 (100mm)</t>
  </si>
  <si>
    <t>300 (150mm)</t>
  </si>
  <si>
    <t>VVF53</t>
  </si>
  <si>
    <t>VXF53</t>
  </si>
  <si>
    <t>0.16 (15mm)</t>
  </si>
  <si>
    <t>VVF53_15_0P16</t>
  </si>
  <si>
    <t>0.2 (15mm)</t>
  </si>
  <si>
    <t>VVF53_15_0P2</t>
  </si>
  <si>
    <t>0.25 (15mm)</t>
  </si>
  <si>
    <t>VVF53_15_0P25</t>
  </si>
  <si>
    <t>0.32 (15mm)</t>
  </si>
  <si>
    <t>VVF53_15_0P32</t>
  </si>
  <si>
    <t>0.4 (15mm)</t>
  </si>
  <si>
    <t>VVF53_15_0P4</t>
  </si>
  <si>
    <t>0.5 (15mm)</t>
  </si>
  <si>
    <t>VVF53_15_0P5</t>
  </si>
  <si>
    <t>0.63 (15mm)</t>
  </si>
  <si>
    <t>VVF53_15_0P63</t>
  </si>
  <si>
    <t>0.8 (15mm)</t>
  </si>
  <si>
    <t>VVF53_15_0P8</t>
  </si>
  <si>
    <t>1 (15mm)</t>
  </si>
  <si>
    <t>VVF53_15_1</t>
  </si>
  <si>
    <t>1.25 (15mm)</t>
  </si>
  <si>
    <t>VVF53_15_1P25</t>
  </si>
  <si>
    <t>VVF53_15_1P6</t>
  </si>
  <si>
    <t>2 (15mm)</t>
  </si>
  <si>
    <t>VVF53_15_2</t>
  </si>
  <si>
    <t>VVF53_15_2P5</t>
  </si>
  <si>
    <t>3.2 (15mm)</t>
  </si>
  <si>
    <t>VVF53_15_3P2</t>
  </si>
  <si>
    <t>VVF53_15_4</t>
  </si>
  <si>
    <t>VVF53_20_6P3</t>
  </si>
  <si>
    <t>5 (25mm)</t>
  </si>
  <si>
    <t>VVF53_25_5</t>
  </si>
  <si>
    <t>6.3 (25mm)</t>
  </si>
  <si>
    <t>VVF53_25_6P3</t>
  </si>
  <si>
    <t>8 (25mm)</t>
  </si>
  <si>
    <t>VVF53_25_8</t>
  </si>
  <si>
    <t>VVF53_25_10</t>
  </si>
  <si>
    <t>VVF53_32_16</t>
  </si>
  <si>
    <t>12.5 (40mm)</t>
  </si>
  <si>
    <t>VVF53_40_12P5</t>
  </si>
  <si>
    <t>16 (40mm)</t>
  </si>
  <si>
    <t>VVF53_40_16</t>
  </si>
  <si>
    <t>20 (40mm)</t>
  </si>
  <si>
    <t>VVF53_40_20</t>
  </si>
  <si>
    <t>VVF53_40_25</t>
  </si>
  <si>
    <t>31.5 (50mm)</t>
  </si>
  <si>
    <t>VVF53_50_31P5</t>
  </si>
  <si>
    <t>VVF53_50_40</t>
  </si>
  <si>
    <t>63 (63mm)</t>
  </si>
  <si>
    <t>VVF53_63_63</t>
  </si>
  <si>
    <t>VVF53_80_100</t>
  </si>
  <si>
    <t>VVF53_100_160</t>
  </si>
  <si>
    <t>VVF53_125_250</t>
  </si>
  <si>
    <t>VVF53_150_400</t>
  </si>
  <si>
    <t>VXF53_15_1P6</t>
  </si>
  <si>
    <t>VXF53_15_2P5</t>
  </si>
  <si>
    <t>VXF53_15_4</t>
  </si>
  <si>
    <t>VXF53_20_6P3</t>
  </si>
  <si>
    <t>VXF53_25_6P3</t>
  </si>
  <si>
    <t>VXF53_25_10</t>
  </si>
  <si>
    <t>VXF53_32_16</t>
  </si>
  <si>
    <t>VXF53_40_16</t>
  </si>
  <si>
    <t>VXF53_40_25</t>
  </si>
  <si>
    <t>VXF53_50_40</t>
  </si>
  <si>
    <t>VXF53_65_63</t>
  </si>
  <si>
    <t>VXF53_80_100</t>
  </si>
  <si>
    <t>VXF53_100_160</t>
  </si>
  <si>
    <t>VXF53_125_250</t>
  </si>
  <si>
    <t>VXF53_150_400</t>
  </si>
  <si>
    <t>Coil DP</t>
  </si>
  <si>
    <t>Valve
Authority</t>
  </si>
  <si>
    <t>Kv
reqd</t>
  </si>
  <si>
    <t>kPa,
actual</t>
  </si>
  <si>
    <t>VKF42 Butterfly 0-10V</t>
  </si>
  <si>
    <t>VKF42_50_010V</t>
  </si>
  <si>
    <t>VKF42_65_010V</t>
  </si>
  <si>
    <t>VKF42_80_010V</t>
  </si>
  <si>
    <t>VKF42_100_010V</t>
  </si>
  <si>
    <t>VKF42_125_010V</t>
  </si>
  <si>
    <t>VKF42_150_010V</t>
  </si>
  <si>
    <t>VKF42_200_010V</t>
  </si>
  <si>
    <t>VKF42_250_010V</t>
  </si>
  <si>
    <t>VKF42_300_010V</t>
  </si>
  <si>
    <t>VKF42_350_010V</t>
  </si>
  <si>
    <t>VKF42_400_010V</t>
  </si>
  <si>
    <t>VKF42_450_010V</t>
  </si>
  <si>
    <t>VKF42_500_010V</t>
  </si>
  <si>
    <t>VKF42_600_010V</t>
  </si>
  <si>
    <t>VKF42_50_3P</t>
  </si>
  <si>
    <t>VKF42_65_3P</t>
  </si>
  <si>
    <t>VKF42_80_3P</t>
  </si>
  <si>
    <t>VKF42_100_3P</t>
  </si>
  <si>
    <t>VKF42_125_3P</t>
  </si>
  <si>
    <t>VKF42_150_3P</t>
  </si>
  <si>
    <t>VKF42_200_3P</t>
  </si>
  <si>
    <t>VKF42_250_3P</t>
  </si>
  <si>
    <t>VKF42_300_3P</t>
  </si>
  <si>
    <t>VKF42_350_3P</t>
  </si>
  <si>
    <t>VKF42_400_3P</t>
  </si>
  <si>
    <t>VKF42_450_3P</t>
  </si>
  <si>
    <t>VKF42_500_3P</t>
  </si>
  <si>
    <t>VKF42_600_3P</t>
  </si>
  <si>
    <t>VKF42 Butterfly 2/3-Pos</t>
  </si>
  <si>
    <t>65 (50mm) 3P</t>
  </si>
  <si>
    <t>140 (65mm) 3P</t>
  </si>
  <si>
    <t>210 (80mm) 3P</t>
  </si>
  <si>
    <t>470 (100mm) 3P</t>
  </si>
  <si>
    <t>750 (125mm) 2P</t>
  </si>
  <si>
    <t>VKF46_40_010V</t>
  </si>
  <si>
    <t>VKF46_50_010V</t>
  </si>
  <si>
    <t>VKF46_65_010V</t>
  </si>
  <si>
    <t>VKF46_80_010V</t>
  </si>
  <si>
    <t>VKF46_100_010V</t>
  </si>
  <si>
    <t>VKF46_125_010V</t>
  </si>
  <si>
    <t>VKF46 Butterfly 0-10V</t>
  </si>
  <si>
    <t>VKF46_40_3P</t>
  </si>
  <si>
    <t>VKF46_50_3P</t>
  </si>
  <si>
    <t>VKF46_65_3P</t>
  </si>
  <si>
    <t>VKF46_80_3P</t>
  </si>
  <si>
    <t>VKF46_100_3P</t>
  </si>
  <si>
    <t>VKF46_125_3P</t>
  </si>
  <si>
    <t>VKF46_150_010V</t>
  </si>
  <si>
    <t>VKF46_150_3P</t>
  </si>
  <si>
    <t>VKF46_200_3P</t>
  </si>
  <si>
    <t>VKF46_250_3P</t>
  </si>
  <si>
    <t>VKF46_300_3P</t>
  </si>
  <si>
    <t>VKF46_350_3P</t>
  </si>
  <si>
    <t>VKF46_400_3P</t>
  </si>
  <si>
    <t>VKF46_450_3P</t>
  </si>
  <si>
    <t>VKF46_500_3P</t>
  </si>
  <si>
    <t>VKF46_600_3P</t>
  </si>
  <si>
    <t>VKF46 Butterfly 3-Pos</t>
  </si>
  <si>
    <t>[l/h]</t>
  </si>
  <si>
    <t>Dial</t>
  </si>
  <si>
    <t>Min.</t>
  </si>
  <si>
    <t>Max.</t>
  </si>
  <si>
    <t>VPI46.15L0.2, VPI46.15L0.2Q 200 l/h nominal</t>
  </si>
  <si>
    <t>VPI46.15L0.6, VPI46.15L0.6Q 600 l/h nominal</t>
  </si>
  <si>
    <t>VPI46.20F1.4, VPI46.20F1.4Q 1400 l/h nominal</t>
  </si>
  <si>
    <t>VPI45.15F0.5, VPI45.15F0.5Q 500 l/h nominal</t>
  </si>
  <si>
    <t>VPI45.15F1.5, VPI45.15F1.5Q 1500 l/h nominal</t>
  </si>
  <si>
    <t>VPI45.20F0.9, VPI45.20F0.9Q 900 l/h nominal</t>
  </si>
  <si>
    <t>VPI45.20F2, VPI45.20F2Q 2000 l/h nominal</t>
  </si>
  <si>
    <t>VPI45.25F1.5, VPI45.25F1.5Q 1500 l/h nominal</t>
  </si>
  <si>
    <t>VPI45.25F2, VPI45.25F2Q 2000 l/h nominal</t>
  </si>
  <si>
    <t>VPI45.32F3, VPI45.32F3Q 3000 l/h nominal</t>
  </si>
  <si>
    <t>VPI45.40F7, VPI45.40F7Q 7000 l/h nominal</t>
  </si>
  <si>
    <t>Skala</t>
  </si>
  <si>
    <t>VPI45.50F8.5, VPI45.50F8.5Q 8500 l/h nominal</t>
  </si>
  <si>
    <t>Preset</t>
  </si>
  <si>
    <t>Entered V</t>
  </si>
  <si>
    <t>Flow Rate L/h</t>
  </si>
  <si>
    <t>Min DP (kPa)</t>
  </si>
  <si>
    <t>Max DP (kPa)</t>
  </si>
  <si>
    <t>Min Flow (L/h)</t>
  </si>
  <si>
    <t>Max Flow (L/h)</t>
  </si>
  <si>
    <t>Dial Position</t>
  </si>
  <si>
    <t>VPI45_20_2</t>
  </si>
  <si>
    <t>VPI45_25_2</t>
  </si>
  <si>
    <t>VPI45_32_3</t>
  </si>
  <si>
    <t>VPI45_40_7</t>
  </si>
  <si>
    <t>VPI46_15_0.2_</t>
  </si>
  <si>
    <t>VPI46_15_0.6_</t>
  </si>
  <si>
    <t>VPI46_20_1.4_</t>
  </si>
  <si>
    <t>VPI45_15_0.5_</t>
  </si>
  <si>
    <t>VPI45_15_1.5_</t>
  </si>
  <si>
    <t>VPI45_20_0.9_</t>
  </si>
  <si>
    <t>VPI45_20_2_</t>
  </si>
  <si>
    <t>VPI45_25_1.5_</t>
  </si>
  <si>
    <t>VPI45_25_2_</t>
  </si>
  <si>
    <t>VPI45_32_3_</t>
  </si>
  <si>
    <t>VPI45_40_7_</t>
  </si>
  <si>
    <t>VPI45_50_8.5_</t>
  </si>
  <si>
    <t>LH</t>
  </si>
  <si>
    <t>DIAL</t>
  </si>
  <si>
    <t>Siemens Combi Valves</t>
  </si>
  <si>
    <t>VPI46</t>
  </si>
  <si>
    <t>VPI45</t>
  </si>
  <si>
    <t>VPI46_15_0P2</t>
  </si>
  <si>
    <t>VPI46_15_0P6</t>
  </si>
  <si>
    <t>VPI46_20_1P4</t>
  </si>
  <si>
    <t>VPI45_15_0P5</t>
  </si>
  <si>
    <t>VPI45_15_1P5</t>
  </si>
  <si>
    <t>VPI45_25_1P5</t>
  </si>
  <si>
    <t>VPI45_20_0P9</t>
  </si>
  <si>
    <t>Standard flow rate</t>
  </si>
  <si>
    <r>
      <t>VPF53.50F16 16 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</si>
  <si>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VPF53.65F24 24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</si>
  <si>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VPF53.80F35</t>
    </r>
    <r>
      <rPr>
        <b/>
        <sz val="8"/>
        <rFont val="Arial"/>
        <family val="2"/>
      </rPr>
      <t xml:space="preserve"> 35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</si>
  <si>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t>High flow rate</t>
  </si>
  <si>
    <r>
      <t>VPF53.50F25 25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</si>
  <si>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VPF53.65F35 35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</si>
  <si>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VPF53.80F45</t>
    </r>
    <r>
      <rPr>
        <b/>
        <sz val="8"/>
        <rFont val="Arial"/>
        <family val="2"/>
      </rPr>
      <t xml:space="preserve"> 45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</si>
  <si>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VPF43.50F16 16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</si>
  <si>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VPF43.65F24 24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</si>
  <si>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VPF43.80F35 35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</si>
  <si>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VPF43.50F25 25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</si>
  <si>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VPF43.65F35 35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</si>
  <si>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r>
      <t>VPF43.80F45 45 m</t>
    </r>
    <r>
      <rPr>
        <b/>
        <vertAlign val="superscript"/>
        <sz val="8"/>
        <rFont val="Arial"/>
        <family val="2"/>
      </rPr>
      <t>3</t>
    </r>
    <r>
      <rPr>
        <b/>
        <sz val="8"/>
        <rFont val="Arial"/>
        <family val="2"/>
      </rPr>
      <t>/h nominal</t>
    </r>
  </si>
  <si>
    <t>b599_10350</t>
  </si>
  <si>
    <t>b599_10351</t>
  </si>
  <si>
    <t>b599_10352</t>
  </si>
  <si>
    <t>b599_10353</t>
  </si>
  <si>
    <t>b599_10354</t>
  </si>
  <si>
    <t>b599_10355</t>
  </si>
  <si>
    <t>b599_10357</t>
  </si>
  <si>
    <t>b599_10356</t>
  </si>
  <si>
    <t>b599_10358</t>
  </si>
  <si>
    <t>b599_10359</t>
  </si>
  <si>
    <t>b599_10360</t>
  </si>
  <si>
    <t>VPI45_50_8P5</t>
  </si>
  <si>
    <t>VPF43</t>
  </si>
  <si>
    <t>1,250 (150mm)</t>
  </si>
  <si>
    <t>3,100 (200mm)</t>
  </si>
  <si>
    <t>4,050 (250mm)</t>
  </si>
  <si>
    <t>7,500 (300mm)</t>
  </si>
  <si>
    <t>10,250 (350mm)</t>
  </si>
  <si>
    <t>14,100 (400mm)</t>
  </si>
  <si>
    <t>18,500 (450mm)</t>
  </si>
  <si>
    <t>24,000 (500mm)</t>
  </si>
  <si>
    <t>37,000 (600mm)</t>
  </si>
  <si>
    <t>1,250 (150mm) 2P</t>
  </si>
  <si>
    <t>3,100 (200mm) 2P</t>
  </si>
  <si>
    <t>4,050 (250mm) 2P</t>
  </si>
  <si>
    <t>7,500 (300mm) 2P</t>
  </si>
  <si>
    <t>10,250 (350mm) 2P</t>
  </si>
  <si>
    <t>14,100 (400mm) 2P</t>
  </si>
  <si>
    <t>18,500 (450mm) 2P</t>
  </si>
  <si>
    <t>24,000 (500mm) 2P</t>
  </si>
  <si>
    <t>37,000 (600mm) 2P</t>
  </si>
  <si>
    <t>1,010 (125mm)</t>
  </si>
  <si>
    <t>2,100 (150mm)</t>
  </si>
  <si>
    <t>4,000 (200mm)</t>
  </si>
  <si>
    <t>6,400 (250mm)</t>
  </si>
  <si>
    <t>8,500 (300mm)</t>
  </si>
  <si>
    <t>11,500 (350mm)</t>
  </si>
  <si>
    <t>14,500 (400mm)</t>
  </si>
  <si>
    <t>20,500 (450mm)</t>
  </si>
  <si>
    <t>21,000 (500mm)</t>
  </si>
  <si>
    <t>29,300 (600mm)</t>
  </si>
  <si>
    <t>VPF53</t>
  </si>
  <si>
    <t>VPF53_50_16</t>
  </si>
  <si>
    <t>VPF53_65_24</t>
  </si>
  <si>
    <t>VPF53_80_35</t>
  </si>
  <si>
    <t>VPF53_50_25</t>
  </si>
  <si>
    <t>VPF53_65_35</t>
  </si>
  <si>
    <t>VPF53_80_45</t>
  </si>
  <si>
    <t>VPF43_50_16</t>
  </si>
  <si>
    <t>VPF43_65_24</t>
  </si>
  <si>
    <t>VPF43_80_35</t>
  </si>
  <si>
    <t>VPF43_50_25</t>
  </si>
  <si>
    <t>VPF43_65_35</t>
  </si>
  <si>
    <t>VPF43_80_45</t>
  </si>
  <si>
    <t>VPF43_50_16_</t>
  </si>
  <si>
    <t>VPF43_65_24_</t>
  </si>
  <si>
    <t>VPF43_80_35_</t>
  </si>
  <si>
    <t>VPF43_50_25_</t>
  </si>
  <si>
    <t>VPF43_65_35_</t>
  </si>
  <si>
    <t>VPF43_80_45_</t>
  </si>
  <si>
    <t>VPF53_50_16_</t>
  </si>
  <si>
    <t>VPF53_65_24_</t>
  </si>
  <si>
    <t>VPF53_80_35_</t>
  </si>
  <si>
    <t>VPF53_50_25_</t>
  </si>
  <si>
    <t>VPF53_65_35_</t>
  </si>
  <si>
    <t>VPF53_80_45_</t>
  </si>
  <si>
    <t>b171A_10350</t>
  </si>
  <si>
    <t>b171A_10351</t>
  </si>
  <si>
    <t>b171A_10352</t>
  </si>
  <si>
    <t>b171A_10353</t>
  </si>
  <si>
    <t>b171A_10354</t>
  </si>
  <si>
    <t>b171A_10355</t>
  </si>
  <si>
    <t>b171A_10358</t>
  </si>
  <si>
    <t>b171A_10359</t>
  </si>
  <si>
    <t>b171A_10360</t>
  </si>
  <si>
    <t>b171C_10350</t>
  </si>
  <si>
    <t>b171C_10351</t>
  </si>
  <si>
    <t>b171C_10352</t>
  </si>
  <si>
    <t>b171C_10353</t>
  </si>
  <si>
    <t>b171C_10354</t>
  </si>
  <si>
    <t>b171C_10355</t>
  </si>
  <si>
    <t>b171C_10358</t>
  </si>
  <si>
    <t>b171C_10359</t>
  </si>
  <si>
    <t>b171C_10360</t>
  </si>
  <si>
    <t>b171A_10357</t>
  </si>
  <si>
    <t>b171A_10356</t>
  </si>
  <si>
    <t>5.5 (15mm)</t>
  </si>
  <si>
    <t>b171C_10356</t>
  </si>
  <si>
    <t>b171C_10357</t>
  </si>
  <si>
    <t>b599_10362</t>
  </si>
  <si>
    <t>b171A_10362</t>
  </si>
  <si>
    <t>b171C_10362</t>
  </si>
  <si>
    <t>140* (50mm)</t>
  </si>
  <si>
    <t>b171C_10361</t>
  </si>
  <si>
    <t>30 - 200 l/h (15mm)</t>
  </si>
  <si>
    <t>100 - 575 l/h (15mm)</t>
  </si>
  <si>
    <t>90 - 620 l/h (15mm)</t>
  </si>
  <si>
    <t>290 - 1,730 l/h (15mm)</t>
  </si>
  <si>
    <t>160 - 1,050 l/h (20mm)</t>
  </si>
  <si>
    <t>350 - 2,040 l/h (20mm)</t>
  </si>
  <si>
    <t>280 - 1,720 l/h (25mm)</t>
  </si>
  <si>
    <t>350 - 2,040 l/h (25mm)</t>
  </si>
  <si>
    <t>560 - 3,050 l/h (32mm)</t>
  </si>
  <si>
    <t>4,400 - 25,000 l/h (65mm)</t>
  </si>
  <si>
    <t>6,000 - 35,000 l/h (65mm)</t>
  </si>
  <si>
    <t>5,300 - 34,000 l/h (80mm)</t>
  </si>
  <si>
    <t>7,000 - 43,000 l/h (80mm)</t>
  </si>
  <si>
    <t>Old Combi's</t>
  </si>
  <si>
    <t>New Parts</t>
  </si>
  <si>
    <t>VPI46.15L0.2QS</t>
  </si>
  <si>
    <t>VPI46.15L0.6QS</t>
  </si>
  <si>
    <t>VPI46.25F3.6QF-53-1373</t>
  </si>
  <si>
    <t>VPI46.32F4QF-53-1374</t>
  </si>
  <si>
    <t>VPI45.40F7QS</t>
  </si>
  <si>
    <t>VPI45.50F8.5QS</t>
  </si>
  <si>
    <t>VPF43.50F16F-53-1200</t>
  </si>
  <si>
    <t>VPF43.50F25F-53-1210</t>
  </si>
  <si>
    <t>VPF43.65F24F-53-1201</t>
  </si>
  <si>
    <t>VPF43.65F35F-53-1211</t>
  </si>
  <si>
    <t>VPF43.80F35F-53-1202</t>
  </si>
  <si>
    <t>VPF43.80F45F-53-1212</t>
  </si>
  <si>
    <t>VPF43.100F70F-53-1203</t>
  </si>
  <si>
    <t>VPF43.100F90F-53-1213</t>
  </si>
  <si>
    <t>VPF53.50F16F-53-1220</t>
  </si>
  <si>
    <t>VPF53.50F25F-53-1230</t>
  </si>
  <si>
    <t>VPF53.65F24F-53-1221</t>
  </si>
  <si>
    <t>VPF53.65F35F-53-1231</t>
  </si>
  <si>
    <t>VPF53.80F35F-53-1222</t>
  </si>
  <si>
    <t>VPF53.80F45F-53-1232</t>
  </si>
  <si>
    <t>VPF53.100F70F-53-1223</t>
  </si>
  <si>
    <t>VPF53.100F90F-53-1233</t>
  </si>
  <si>
    <t>VPI46_25_3.6_</t>
  </si>
  <si>
    <t>VPF53_100_70_</t>
  </si>
  <si>
    <t>VPF53_100_90_</t>
  </si>
  <si>
    <t>VPF43_100_70_</t>
  </si>
  <si>
    <t>VPF43_100_90_</t>
  </si>
  <si>
    <t>VPI46_32_4_</t>
  </si>
  <si>
    <t>VPI46_25_3P6</t>
  </si>
  <si>
    <t>VPI46_32_4</t>
  </si>
  <si>
    <t>600 - 3,609 l/h (25mm)</t>
  </si>
  <si>
    <t>550 - 4,001 l/h (32mm)</t>
  </si>
  <si>
    <t>VPF43_100_70</t>
  </si>
  <si>
    <t>VPF43_100_90</t>
  </si>
  <si>
    <t>VPF53_100_70</t>
  </si>
  <si>
    <t>VPF53_100_90</t>
  </si>
  <si>
    <t>12,100 - 68,000 l/h (100mm)</t>
  </si>
  <si>
    <t>14,800 - 90,000 l/h (100mm)</t>
  </si>
  <si>
    <t>2,355 - 7,105 l/h (40mm)</t>
  </si>
  <si>
    <t>2,664 - 8,586 l/h (50mm)</t>
  </si>
  <si>
    <t>2,300 - 15,000 l/h (50mm)</t>
  </si>
  <si>
    <t>4,300 - 25,000 l/h (50mm)</t>
  </si>
  <si>
    <t>VAI61_15_1</t>
  </si>
  <si>
    <t>VAI61_25_10</t>
  </si>
  <si>
    <t>VAI61_32_16</t>
  </si>
  <si>
    <t>VAI61_40_25</t>
  </si>
  <si>
    <t>VAI61_50_40</t>
  </si>
  <si>
    <t>Frese Combi Valves</t>
  </si>
  <si>
    <t>VPI46_15_0P2F</t>
  </si>
  <si>
    <t>VPI46_15_0P6F</t>
  </si>
  <si>
    <t>VPI46_20_1P4F</t>
  </si>
  <si>
    <t>VPI45_40_7F</t>
  </si>
  <si>
    <t>VPI45_50_8P5F</t>
  </si>
  <si>
    <t>VPI46.20F1.4QS (STA...)</t>
  </si>
  <si>
    <t>VPI46.20F1.4QS (SSA...)</t>
  </si>
  <si>
    <t>DIALSTA</t>
  </si>
  <si>
    <t>LHSTA</t>
  </si>
  <si>
    <t>220 - 1,330 l/h (20mm) with SSA...</t>
  </si>
  <si>
    <t>VPI46_20_1P4FSTA</t>
  </si>
  <si>
    <t>VPI46_20_1P4STA</t>
  </si>
  <si>
    <t>200 - 1,190 l/h (20mm) with STA...</t>
  </si>
  <si>
    <t>VPF43_125_110</t>
  </si>
  <si>
    <t>VPF43_125_135</t>
  </si>
  <si>
    <t>VPF43.125F110F-53-1204</t>
  </si>
  <si>
    <t>VPF53.125F110F-53-1224</t>
  </si>
  <si>
    <t>VPF43_125_110_</t>
  </si>
  <si>
    <t>VPF43_125_135_</t>
  </si>
  <si>
    <t>VPF53_125_110_</t>
  </si>
  <si>
    <t>VPF53_125_135_</t>
  </si>
  <si>
    <t>Air Damper Area (m²)</t>
  </si>
  <si>
    <t xml:space="preserve"> - Problem with selection</t>
  </si>
  <si>
    <t xml:space="preserve"> - Automatically calculated value</t>
  </si>
  <si>
    <t xml:space="preserve"> - Warning selected cell may need input</t>
  </si>
  <si>
    <t>VVF53_50_40K</t>
  </si>
  <si>
    <t>VVF53_80_100K</t>
  </si>
  <si>
    <t>40 K (50mm)</t>
  </si>
  <si>
    <t>100 K (80mm)</t>
  </si>
  <si>
    <t>K - Pressure Compensated High Close-Off</t>
  </si>
  <si>
    <t>VVF43_63K</t>
  </si>
  <si>
    <t>VVF43_100K</t>
  </si>
  <si>
    <t>63 K (65mm)</t>
  </si>
  <si>
    <t>Close-Off</t>
  </si>
  <si>
    <t>Quote Reference</t>
  </si>
  <si>
    <t>Valve Schedule</t>
  </si>
  <si>
    <t>Project</t>
  </si>
  <si>
    <t>Prepared for</t>
  </si>
  <si>
    <r>
      <t xml:space="preserve">Typical kPa Design: </t>
    </r>
    <r>
      <rPr>
        <sz val="10"/>
        <color indexed="10"/>
        <rFont val="Calibri"/>
        <family val="2"/>
        <scheme val="minor"/>
      </rPr>
      <t>HHW:</t>
    </r>
  </si>
  <si>
    <t>From</t>
  </si>
  <si>
    <t>Phone #</t>
  </si>
  <si>
    <t>Damper Schedule</t>
  </si>
  <si>
    <t xml:space="preserve"> - Automatically Dial Position</t>
  </si>
  <si>
    <t>Combi Valve Schedule</t>
  </si>
  <si>
    <t>Combi Valve Stock List</t>
  </si>
  <si>
    <t>Max Valve DP</t>
  </si>
  <si>
    <t>Min DP</t>
  </si>
  <si>
    <t>Max DP</t>
  </si>
  <si>
    <t>Maximum  permissible differential pressure at which the motorised valve will close securely against pressure</t>
  </si>
  <si>
    <t>kPa, actual</t>
  </si>
  <si>
    <t>Maximum allowable differential pressure where valve will operate without noise and actuator can actuate over the entire range</t>
  </si>
  <si>
    <t>Minimum differential pressure required to correctly operate the Combi Valve</t>
  </si>
  <si>
    <t>Valve Authority</t>
  </si>
  <si>
    <t xml:space="preserve">     Stock List</t>
  </si>
  <si>
    <r>
      <t>Maximum allowable differential pressure. Exceeding this value (</t>
    </r>
    <r>
      <rPr>
        <u/>
        <sz val="9"/>
        <rFont val="Arial"/>
        <family val="2"/>
      </rPr>
      <t>even when flushing or pressure testing</t>
    </r>
    <r>
      <rPr>
        <sz val="9"/>
        <rFont val="Arial"/>
        <family val="2"/>
      </rPr>
      <t>) will damage the mechanism</t>
    </r>
  </si>
  <si>
    <r>
      <t xml:space="preserve">Set dial position to achieve nominal system flow. Dial to be set </t>
    </r>
    <r>
      <rPr>
        <b/>
        <u/>
        <sz val="9"/>
        <rFont val="Arial"/>
        <family val="2"/>
      </rPr>
      <t>after</t>
    </r>
    <r>
      <rPr>
        <sz val="9"/>
        <rFont val="Arial"/>
        <family val="2"/>
      </rPr>
      <t xml:space="preserve"> system flushing, or pressure testing</t>
    </r>
  </si>
  <si>
    <t>Authority of the control valve compared to the circuit (coil &amp; valve). Should generally be &gt;0.5</t>
  </si>
  <si>
    <t>Pressure drop across the selected valve at nominal flow with valve fully open</t>
  </si>
  <si>
    <t>Relates to the nominal capacity of the valve. It is the amount of flow through the valve when fully open and at a specific dp.</t>
  </si>
  <si>
    <t>150 K (100mm)</t>
  </si>
  <si>
    <t>VVF43_150K</t>
  </si>
  <si>
    <t>220 K (125mm)</t>
  </si>
  <si>
    <t>VVF43_220K</t>
  </si>
  <si>
    <t>315 K (150mm)</t>
  </si>
  <si>
    <t>VVF43_315K</t>
  </si>
  <si>
    <t>VVF53_100_150K</t>
  </si>
  <si>
    <t>VVF53_125_220K</t>
  </si>
  <si>
    <t>VVF53_150_315K</t>
  </si>
  <si>
    <t>VVF53_65_63K</t>
  </si>
  <si>
    <t/>
  </si>
  <si>
    <t>VPF43.125F135F-53-1214</t>
  </si>
  <si>
    <t>VPF53.125F135F-53-1234</t>
  </si>
  <si>
    <t>VPF43_150_148_</t>
  </si>
  <si>
    <t>VPF43_150_195_</t>
  </si>
  <si>
    <t>VPF43.150F195F-53-1215</t>
  </si>
  <si>
    <t>VPF43.150F148F-53-1205</t>
  </si>
  <si>
    <t>VPF53.150F148F-53-1225</t>
  </si>
  <si>
    <t>VPF53.150F195F-53-1235</t>
  </si>
  <si>
    <t>VPF53_150_148_</t>
  </si>
  <si>
    <t>VPF53_150_195_</t>
  </si>
  <si>
    <t>VPF43_150_148</t>
  </si>
  <si>
    <t>VPF43_150_195</t>
  </si>
  <si>
    <t>18,500 - 110,000 l/h (125mm)</t>
  </si>
  <si>
    <t>23,000 - 135,000 l/h (125mm)</t>
  </si>
  <si>
    <t>25,600 - 148,000 l/h (150mm)</t>
  </si>
  <si>
    <t>32,000 - 195,000 l/h (150mm)</t>
  </si>
  <si>
    <t xml:space="preserve">Old Data </t>
  </si>
  <si>
    <t>2,500 - 15,000 l/h (50mm)</t>
  </si>
  <si>
    <t>3,900 - 24,000 l/h (50mm)</t>
  </si>
  <si>
    <t xml:space="preserve"> - Filled when selection is made from menu</t>
  </si>
  <si>
    <t xml:space="preserve"> - Warning / Valve authority below 0.5</t>
  </si>
  <si>
    <t>Macros</t>
  </si>
  <si>
    <t>Combi Valves</t>
  </si>
  <si>
    <t>Valves</t>
  </si>
  <si>
    <t>Dampers</t>
  </si>
  <si>
    <t>VVP47.10-0.25</t>
  </si>
  <si>
    <t>SSP61</t>
  </si>
  <si>
    <t>ALG132</t>
  </si>
  <si>
    <t>VVP47.10-0.4</t>
  </si>
  <si>
    <t>VVP47.10-0.63</t>
  </si>
  <si>
    <t>VVP47.10-1</t>
  </si>
  <si>
    <t>VVP47.10-1.6</t>
  </si>
  <si>
    <t>VVP47.15-2.5</t>
  </si>
  <si>
    <t>ALG142</t>
  </si>
  <si>
    <t>VXP47.10-0.25</t>
  </si>
  <si>
    <t>VXP47.10-0.4</t>
  </si>
  <si>
    <t>VXP47.10-0.63</t>
  </si>
  <si>
    <t>VXP47.10-1</t>
  </si>
  <si>
    <t>VXP47.10-1.6</t>
  </si>
  <si>
    <t>VXP47.15-2.5</t>
  </si>
  <si>
    <t>VVP45.10-0.25</t>
  </si>
  <si>
    <t>SSB61</t>
  </si>
  <si>
    <t>VVP45.10-0.4</t>
  </si>
  <si>
    <t>VVP459.10-0.63</t>
  </si>
  <si>
    <t>VVP459.10-1</t>
  </si>
  <si>
    <t>VVP459.10-1.6</t>
  </si>
  <si>
    <t>VVP459.15-2.5</t>
  </si>
  <si>
    <t>VVP459.20-4</t>
  </si>
  <si>
    <t>ALG152B</t>
  </si>
  <si>
    <t>VVP45.25-6.3</t>
  </si>
  <si>
    <t>ALG202B</t>
  </si>
  <si>
    <t>VVP45.25-10</t>
  </si>
  <si>
    <t>SSC61</t>
  </si>
  <si>
    <t>ALG252B</t>
  </si>
  <si>
    <t>VXP45.10-0.25</t>
  </si>
  <si>
    <t>VXP45.10-0.4</t>
  </si>
  <si>
    <t>VXP45.10-0.63</t>
  </si>
  <si>
    <t>VXP45.10-1</t>
  </si>
  <si>
    <t>VXP45.10-1.6</t>
  </si>
  <si>
    <t>VXP45.15-2.5</t>
  </si>
  <si>
    <t>VXP45.20-4</t>
  </si>
  <si>
    <t>VXP45.25-6.3</t>
  </si>
  <si>
    <t>VXP45.25-10</t>
  </si>
  <si>
    <t>VXP45.32-16</t>
  </si>
  <si>
    <t>ALG322B</t>
  </si>
  <si>
    <t>VVG44.15-0.25</t>
  </si>
  <si>
    <t>SQS65</t>
  </si>
  <si>
    <t>VVG44.15-0.4</t>
  </si>
  <si>
    <t>VVG44.15-0.63</t>
  </si>
  <si>
    <t>VVG44.15-1</t>
  </si>
  <si>
    <t>VVG44.15-1.6</t>
  </si>
  <si>
    <t>VVG44.15-2.5</t>
  </si>
  <si>
    <t>VVG44.15-4</t>
  </si>
  <si>
    <t>VVG44.20-6.3</t>
  </si>
  <si>
    <t>VVG44.25-10</t>
  </si>
  <si>
    <t>VVG44.32-16</t>
  </si>
  <si>
    <t>VVG44.40-25</t>
  </si>
  <si>
    <t>ALG402B</t>
  </si>
  <si>
    <t>VXG44.15-0.25</t>
  </si>
  <si>
    <t>VXG44.15-0.4</t>
  </si>
  <si>
    <t>VXG44.15-0.63</t>
  </si>
  <si>
    <t>VXG44.15-1</t>
  </si>
  <si>
    <t>VXG44.15-1.6</t>
  </si>
  <si>
    <t>VXG44.15-2.5</t>
  </si>
  <si>
    <t>VXG44.15-4</t>
  </si>
  <si>
    <t>VXG44.20-6.3</t>
  </si>
  <si>
    <t>VXG44.25-10</t>
  </si>
  <si>
    <t>VXG44.32-16</t>
  </si>
  <si>
    <t>VXG44.40-25</t>
  </si>
  <si>
    <t>VVG41.11</t>
  </si>
  <si>
    <t>SAX61.03</t>
  </si>
  <si>
    <t>VVG41.12</t>
  </si>
  <si>
    <t>VVG41.13</t>
  </si>
  <si>
    <t>VVG41.14</t>
  </si>
  <si>
    <t>VVG41.15</t>
  </si>
  <si>
    <t>VVG41.20</t>
  </si>
  <si>
    <t>VVG41.25</t>
  </si>
  <si>
    <t>VVG41.32</t>
  </si>
  <si>
    <t>VVG41.40</t>
  </si>
  <si>
    <t>VVG41.50</t>
  </si>
  <si>
    <t>ALG502B</t>
  </si>
  <si>
    <t>VXG41.1301</t>
  </si>
  <si>
    <t>VXG41.1401</t>
  </si>
  <si>
    <t>VXG41.15</t>
  </si>
  <si>
    <t>VXG41.20</t>
  </si>
  <si>
    <t>VXG41.25</t>
  </si>
  <si>
    <t>VXG41.32</t>
  </si>
  <si>
    <t>VXG41.40</t>
  </si>
  <si>
    <t>VXG41.50</t>
  </si>
  <si>
    <t>C/VVI41.15-2.5</t>
  </si>
  <si>
    <t>C/VVI41.15-4</t>
  </si>
  <si>
    <t>C/VVI41.20-6.3</t>
  </si>
  <si>
    <t>C/VVI41.25-10</t>
  </si>
  <si>
    <t>C/VVI41.32-16</t>
  </si>
  <si>
    <t>C/VVI41.40-25</t>
  </si>
  <si>
    <t>C/VVI41.50-40</t>
  </si>
  <si>
    <t>C/VXI41.15-4</t>
  </si>
  <si>
    <t>C/VXI41.20-6.3</t>
  </si>
  <si>
    <t>C/VXI41.25-10</t>
  </si>
  <si>
    <t>C/VXI41.32-16</t>
  </si>
  <si>
    <t>C/VXI41.40-25</t>
  </si>
  <si>
    <t>C/VXI41.50-40</t>
  </si>
  <si>
    <t>C/VVF31.50</t>
  </si>
  <si>
    <t>SKD60</t>
  </si>
  <si>
    <t>C/VVF31.50-40</t>
  </si>
  <si>
    <t>C/VVF31.65</t>
  </si>
  <si>
    <t>C/VVF31.65-63</t>
  </si>
  <si>
    <t>C/VVF31.80</t>
  </si>
  <si>
    <t>SKB60</t>
  </si>
  <si>
    <t>C/VVF31.80-100</t>
  </si>
  <si>
    <t>C/VVF31.90</t>
  </si>
  <si>
    <t>SKC60</t>
  </si>
  <si>
    <t>C/VVF31.100-160</t>
  </si>
  <si>
    <t>C/VVF31.91</t>
  </si>
  <si>
    <t>C/VVF31.125-250</t>
  </si>
  <si>
    <t>C/VVF31.92</t>
  </si>
  <si>
    <t>C/VVF31.150-315</t>
  </si>
  <si>
    <t>C/VXF31.50</t>
  </si>
  <si>
    <t>C/VXF31.50-40</t>
  </si>
  <si>
    <t>C/VXF31.65</t>
  </si>
  <si>
    <t>C/VXF31.65-63</t>
  </si>
  <si>
    <t>C/VXF31.80</t>
  </si>
  <si>
    <t>C/VXF31.80-100</t>
  </si>
  <si>
    <t>C/VXF31.90</t>
  </si>
  <si>
    <t>C/VXF31.100-160</t>
  </si>
  <si>
    <t>C/VXF31.91</t>
  </si>
  <si>
    <t>C/VXF31.125-250</t>
  </si>
  <si>
    <t>C/VXF31.92</t>
  </si>
  <si>
    <t>C/VXF31.150-315</t>
  </si>
  <si>
    <t>VVF43.65-50</t>
  </si>
  <si>
    <t>VVF43.65-63</t>
  </si>
  <si>
    <t>VVF43.80-80</t>
  </si>
  <si>
    <t>VVF43.80-100</t>
  </si>
  <si>
    <t>VVF43.100-125</t>
  </si>
  <si>
    <t>VVF43.100-160</t>
  </si>
  <si>
    <t>VVF43.125-200</t>
  </si>
  <si>
    <t>VVF43.125-250</t>
  </si>
  <si>
    <t>VVF43.150-315</t>
  </si>
  <si>
    <t>VVF43.150-400</t>
  </si>
  <si>
    <t>VVF43.65-63K</t>
  </si>
  <si>
    <t>VVF43.80-100K</t>
  </si>
  <si>
    <t>VXF43.65-63</t>
  </si>
  <si>
    <t>VXF43.80-100</t>
  </si>
  <si>
    <t>VXF43.100-160</t>
  </si>
  <si>
    <t>VXF43.125-250</t>
  </si>
  <si>
    <t>VXF43.150-400</t>
  </si>
  <si>
    <t>VVF53.15-0.16</t>
  </si>
  <si>
    <t>VVF53.15-0.2</t>
  </si>
  <si>
    <t>VVF53.15-0.25</t>
  </si>
  <si>
    <t>VVF53.15-0.32</t>
  </si>
  <si>
    <t>VVF53.15-0.4</t>
  </si>
  <si>
    <t>VVF53.15-0.5</t>
  </si>
  <si>
    <t>VVF53.15-0.63</t>
  </si>
  <si>
    <t>VVF53.15-0.8</t>
  </si>
  <si>
    <t>VVF53.15-1</t>
  </si>
  <si>
    <t>VVF53.15-1.25</t>
  </si>
  <si>
    <t>VVF53.15-1.6</t>
  </si>
  <si>
    <t>VVF53.15-2</t>
  </si>
  <si>
    <t>VVF53.15-2.5</t>
  </si>
  <si>
    <t>VVF53.15-3.2</t>
  </si>
  <si>
    <t>VVF53.15-4</t>
  </si>
  <si>
    <t>VVF53.20-6.3</t>
  </si>
  <si>
    <t>VVF53.25-5</t>
  </si>
  <si>
    <t>VVF53.25-6.3</t>
  </si>
  <si>
    <t>VVF53.25-8</t>
  </si>
  <si>
    <t>VVF53.25-10</t>
  </si>
  <si>
    <t>VVF53.32-16</t>
  </si>
  <si>
    <t>VVF53.40-12.5</t>
  </si>
  <si>
    <t>VVF53.40-16</t>
  </si>
  <si>
    <t>VVF53.40-20</t>
  </si>
  <si>
    <t>VVF53.40-25</t>
  </si>
  <si>
    <t>VVF53.50-31.5</t>
  </si>
  <si>
    <t>VVF53.50-40</t>
  </si>
  <si>
    <t>VVF53.65-63</t>
  </si>
  <si>
    <t>VVF53.80-100</t>
  </si>
  <si>
    <t>VVF53.100-160</t>
  </si>
  <si>
    <t>VVF53.125-250</t>
  </si>
  <si>
    <t>VVF53.150-400</t>
  </si>
  <si>
    <t>VVF53.50-40K</t>
  </si>
  <si>
    <t>VVF53.65-63K</t>
  </si>
  <si>
    <t>VVF53.80-100K</t>
  </si>
  <si>
    <t>VXF53.15-1.6</t>
  </si>
  <si>
    <t>VXF53.15-2.5</t>
  </si>
  <si>
    <t>VXF53.15-4</t>
  </si>
  <si>
    <t>VXF53.20-6.3</t>
  </si>
  <si>
    <t>VXF53.25-6.3</t>
  </si>
  <si>
    <t>VXF53.25-10</t>
  </si>
  <si>
    <t>VXF53.32-16</t>
  </si>
  <si>
    <t>VXF53.40-16</t>
  </si>
  <si>
    <t>VXF53.40-25</t>
  </si>
  <si>
    <t>VXF53.50-40</t>
  </si>
  <si>
    <t>VXF53.65-63</t>
  </si>
  <si>
    <t>VXF53.80-100</t>
  </si>
  <si>
    <t>VXF53.100-160</t>
  </si>
  <si>
    <t>VXF53.125-250</t>
  </si>
  <si>
    <t>VXF53.150-400</t>
  </si>
  <si>
    <t>VAI61.15-1</t>
  </si>
  <si>
    <t>GDB161.9E</t>
  </si>
  <si>
    <t>VAI61.15-1.6</t>
  </si>
  <si>
    <t>VAI61.15-2.5</t>
  </si>
  <si>
    <t>VAI61.15-4</t>
  </si>
  <si>
    <t>VAI61.20-6.3</t>
  </si>
  <si>
    <t>VAI61.25-10</t>
  </si>
  <si>
    <t>VAI61.32-16</t>
  </si>
  <si>
    <t>GLB161.9E</t>
  </si>
  <si>
    <t>VAI61.40-25</t>
  </si>
  <si>
    <t>VAI61.50-40</t>
  </si>
  <si>
    <t>VAI61.50-63</t>
  </si>
  <si>
    <t>VBI61.15-1.6</t>
  </si>
  <si>
    <t>VBI61.15-2.5</t>
  </si>
  <si>
    <t>VBI61.15-4</t>
  </si>
  <si>
    <t>VBI61.20-6.3</t>
  </si>
  <si>
    <t>VBI61.25-10</t>
  </si>
  <si>
    <t>VBI61.32-16</t>
  </si>
  <si>
    <t>VBI61.40-25</t>
  </si>
  <si>
    <t>VBI61.50-40</t>
  </si>
  <si>
    <t>VAF51.65-63</t>
  </si>
  <si>
    <t>GBB131.1E</t>
  </si>
  <si>
    <t>VAF51.80-100</t>
  </si>
  <si>
    <t>VAF51.100-160</t>
  </si>
  <si>
    <t>GIB131.1E</t>
  </si>
  <si>
    <t>VAF51.125-200</t>
  </si>
  <si>
    <t>VAF51.150-360</t>
  </si>
  <si>
    <t>GBB161.1E</t>
  </si>
  <si>
    <t>GIB161.1E</t>
  </si>
  <si>
    <t>VKF42.50</t>
  </si>
  <si>
    <t>GEB161.1E</t>
  </si>
  <si>
    <t>ASK77.9</t>
  </si>
  <si>
    <t>VKF42.65</t>
  </si>
  <si>
    <t>VKF42.80</t>
  </si>
  <si>
    <t>VKF46-BR.0</t>
  </si>
  <si>
    <t>VKF42.100</t>
  </si>
  <si>
    <t>VKF42.125</t>
  </si>
  <si>
    <t>SQL361B50</t>
  </si>
  <si>
    <t>VKF42.150</t>
  </si>
  <si>
    <t>SQL361B150</t>
  </si>
  <si>
    <t>VKF42.200</t>
  </si>
  <si>
    <t>VKF42.250</t>
  </si>
  <si>
    <t>SQL361B270</t>
  </si>
  <si>
    <t>VKF42.300</t>
  </si>
  <si>
    <t>SQL361B570</t>
  </si>
  <si>
    <t>VKF42.350</t>
  </si>
  <si>
    <t>VKF42.400</t>
  </si>
  <si>
    <t>SQL361B1400</t>
  </si>
  <si>
    <t>VKF42.450</t>
  </si>
  <si>
    <t>VKF42.500</t>
  </si>
  <si>
    <t>SQL361B2650</t>
  </si>
  <si>
    <t>VKF42.600</t>
  </si>
  <si>
    <t>GEB131.1E</t>
  </si>
  <si>
    <t>SQL321B50</t>
  </si>
  <si>
    <t>SQL321B150</t>
  </si>
  <si>
    <t>SQL321B270</t>
  </si>
  <si>
    <t>SQL321B570</t>
  </si>
  <si>
    <t>SQL321B1400</t>
  </si>
  <si>
    <t>SQL321B2650</t>
  </si>
  <si>
    <t>VKF46.40</t>
  </si>
  <si>
    <t>VKF46-BR.1</t>
  </si>
  <si>
    <t>VKF46.50</t>
  </si>
  <si>
    <t>VKF46.65</t>
  </si>
  <si>
    <t>VKF46.80</t>
  </si>
  <si>
    <t>VKF46-BR.2</t>
  </si>
  <si>
    <t>VKF46.100</t>
  </si>
  <si>
    <t>VKF46.125</t>
  </si>
  <si>
    <t>VKF46.150</t>
  </si>
  <si>
    <t>VKF46-BR.3</t>
  </si>
  <si>
    <t>VKF46.200</t>
  </si>
  <si>
    <t>SQL36E65</t>
  </si>
  <si>
    <t>VKF46.250</t>
  </si>
  <si>
    <t>SQL36E110</t>
  </si>
  <si>
    <t>VKF46.300</t>
  </si>
  <si>
    <t>VKF46.350</t>
  </si>
  <si>
    <t>VKF46.400</t>
  </si>
  <si>
    <t>SQL36E160</t>
  </si>
  <si>
    <t>VKF46.500</t>
  </si>
  <si>
    <t>599-10300</t>
  </si>
  <si>
    <t>599-10301</t>
  </si>
  <si>
    <t>599-10302</t>
  </si>
  <si>
    <t>599-10303</t>
  </si>
  <si>
    <t>599-10304</t>
  </si>
  <si>
    <t>599-10305</t>
  </si>
  <si>
    <t>599-10307</t>
  </si>
  <si>
    <t>599-10308</t>
  </si>
  <si>
    <t>599-10309</t>
  </si>
  <si>
    <t>599-10311</t>
  </si>
  <si>
    <t>599-10313</t>
  </si>
  <si>
    <t>599-10314</t>
  </si>
  <si>
    <t>599-10316</t>
  </si>
  <si>
    <t>599-10317</t>
  </si>
  <si>
    <t>599-10319</t>
  </si>
  <si>
    <t>599-10320</t>
  </si>
  <si>
    <t>599-10321</t>
  </si>
  <si>
    <t>599-10322</t>
  </si>
  <si>
    <t>599-10323</t>
  </si>
  <si>
    <t>599-10326</t>
  </si>
  <si>
    <t>599-10327</t>
  </si>
  <si>
    <t>599-10328</t>
  </si>
  <si>
    <t>599-10330</t>
  </si>
  <si>
    <t>171A-10300</t>
  </si>
  <si>
    <t>171A-10301</t>
  </si>
  <si>
    <t>171A-10302</t>
  </si>
  <si>
    <t>171A-10303</t>
  </si>
  <si>
    <t>171A-10304</t>
  </si>
  <si>
    <t>171A-10305</t>
  </si>
  <si>
    <t>171A-10306</t>
  </si>
  <si>
    <t>171A-10308</t>
  </si>
  <si>
    <t>171A-10309</t>
  </si>
  <si>
    <t>171A-10312</t>
  </si>
  <si>
    <t>171A-10313</t>
  </si>
  <si>
    <t>171A-10314</t>
  </si>
  <si>
    <t>171A-10320</t>
  </si>
  <si>
    <t>171B-10323</t>
  </si>
  <si>
    <t>171B-10328</t>
  </si>
  <si>
    <t>171C-10300</t>
  </si>
  <si>
    <t>171C-10301</t>
  </si>
  <si>
    <t>171C-10302</t>
  </si>
  <si>
    <t>171C-10303</t>
  </si>
  <si>
    <t>171C-10304</t>
  </si>
  <si>
    <t>171C-10305</t>
  </si>
  <si>
    <t>171C-10306</t>
  </si>
  <si>
    <t>171C-10308</t>
  </si>
  <si>
    <t>171C-10309</t>
  </si>
  <si>
    <t>171C-10312</t>
  </si>
  <si>
    <t>171C-10313</t>
  </si>
  <si>
    <t>171C-10314</t>
  </si>
  <si>
    <t>171C-10315</t>
  </si>
  <si>
    <t>171C-10317</t>
  </si>
  <si>
    <t>171C-10319</t>
  </si>
  <si>
    <t>171C-10320</t>
  </si>
  <si>
    <t>171D-10322</t>
  </si>
  <si>
    <t>171D-10323</t>
  </si>
  <si>
    <t>171D-10328</t>
  </si>
  <si>
    <t>599-10350</t>
  </si>
  <si>
    <t>599-10351</t>
  </si>
  <si>
    <t>599-10352</t>
  </si>
  <si>
    <t>599-10353</t>
  </si>
  <si>
    <t>599-10354</t>
  </si>
  <si>
    <t>599-10355</t>
  </si>
  <si>
    <t>599-10356</t>
  </si>
  <si>
    <t>599-10357</t>
  </si>
  <si>
    <t>599-10358</t>
  </si>
  <si>
    <t>599-10359</t>
  </si>
  <si>
    <t>599-10360</t>
  </si>
  <si>
    <t>599-10257</t>
  </si>
  <si>
    <t>599-10259</t>
  </si>
  <si>
    <t>599-10260</t>
  </si>
  <si>
    <t>599-10261</t>
  </si>
  <si>
    <t>599-10263</t>
  </si>
  <si>
    <t>599-10264</t>
  </si>
  <si>
    <t>599-10266</t>
  </si>
  <si>
    <t>599-10267</t>
  </si>
  <si>
    <t>171A-10350</t>
  </si>
  <si>
    <t>171A-10351</t>
  </si>
  <si>
    <t>171A-10352</t>
  </si>
  <si>
    <t>171A-10353</t>
  </si>
  <si>
    <t>171A-10354</t>
  </si>
  <si>
    <t>171A-10355</t>
  </si>
  <si>
    <t>171A-10356</t>
  </si>
  <si>
    <t>171A-10357</t>
  </si>
  <si>
    <t>171A-10358</t>
  </si>
  <si>
    <t>171A-10359</t>
  </si>
  <si>
    <t>171A-10360</t>
  </si>
  <si>
    <t>171A-10257</t>
  </si>
  <si>
    <t>171B-10263</t>
  </si>
  <si>
    <t>171B-10266</t>
  </si>
  <si>
    <t>171C-10350</t>
  </si>
  <si>
    <t>171C-10351</t>
  </si>
  <si>
    <t>171C-10352</t>
  </si>
  <si>
    <t>171C-10353</t>
  </si>
  <si>
    <t>171C-10354</t>
  </si>
  <si>
    <t>171C-10355</t>
  </si>
  <si>
    <t>171C-10356</t>
  </si>
  <si>
    <t>171C-10357</t>
  </si>
  <si>
    <t>171C-10358</t>
  </si>
  <si>
    <t>171C-10359</t>
  </si>
  <si>
    <t>171C-10360</t>
  </si>
  <si>
    <t>171C-10361</t>
  </si>
  <si>
    <t>171C-10362</t>
  </si>
  <si>
    <t>171D-10262</t>
  </si>
  <si>
    <t>171D-10263</t>
  </si>
  <si>
    <t>171D-10266</t>
  </si>
  <si>
    <t>GQD121.1A</t>
  </si>
  <si>
    <t>GQD131.1A</t>
  </si>
  <si>
    <t>GQD161.1A</t>
  </si>
  <si>
    <t>GQD321.1A</t>
  </si>
  <si>
    <t>GPA121.1E</t>
  </si>
  <si>
    <t>GPA161.1E</t>
  </si>
  <si>
    <t>GPA321.1E</t>
  </si>
  <si>
    <t>GMA121.1E</t>
  </si>
  <si>
    <t>GMA131.1E</t>
  </si>
  <si>
    <t>GMA161.1E</t>
  </si>
  <si>
    <t>GMA321.1E</t>
  </si>
  <si>
    <t>GMA151.1U</t>
  </si>
  <si>
    <t>GCA121.1E</t>
  </si>
  <si>
    <t>GCA131.1E</t>
  </si>
  <si>
    <t>GCA161.1E</t>
  </si>
  <si>
    <t>GCA321.1E</t>
  </si>
  <si>
    <t>GCA151.1U</t>
  </si>
  <si>
    <t>GND121.1U</t>
  </si>
  <si>
    <t>GND126.1U</t>
  </si>
  <si>
    <t>GND321.1U</t>
  </si>
  <si>
    <t>GND326.1U</t>
  </si>
  <si>
    <t>GGD121.1U</t>
  </si>
  <si>
    <t>GGD321.1U</t>
  </si>
  <si>
    <t>GSD121.1A</t>
  </si>
  <si>
    <t>GDB131.1E</t>
  </si>
  <si>
    <t>GDB161.1E</t>
  </si>
  <si>
    <t>GDB331.1E</t>
  </si>
  <si>
    <t>GLB131.1E</t>
  </si>
  <si>
    <t>GLB161.1E</t>
  </si>
  <si>
    <t>GLB331.1E</t>
  </si>
  <si>
    <t>GEB331.1E</t>
  </si>
  <si>
    <t>GBB331.1E</t>
  </si>
  <si>
    <t>GIB331.1E</t>
  </si>
  <si>
    <t>SSA61EP</t>
  </si>
  <si>
    <t>VPI46.20F1.4QS</t>
  </si>
  <si>
    <t>STA63</t>
  </si>
  <si>
    <t>SQD65</t>
  </si>
  <si>
    <t>SAX61P03</t>
  </si>
  <si>
    <t>SQV91P40</t>
  </si>
  <si>
    <t>VPI46.15L0.2QF-53-1362</t>
  </si>
  <si>
    <t>VPI46.15L0.6QF-53-1364</t>
  </si>
  <si>
    <t>VPI46.20F1.4QF-53-1368</t>
  </si>
  <si>
    <t>VPI45.40F7QF-53-1097</t>
  </si>
  <si>
    <t>VPI45.50F8.5QF-53-1098</t>
  </si>
  <si>
    <t>SSB81</t>
  </si>
  <si>
    <t>Part No.</t>
  </si>
  <si>
    <t>Description</t>
  </si>
  <si>
    <t>Valve, 2-Way, Flanged, PN10, DN50, Kvs 31</t>
  </si>
  <si>
    <t>Valve, 2-Way, Flanged, PN10, DN50, Kvs 40</t>
  </si>
  <si>
    <t>Valve, 2-Way, Flanged, PN10, DN65, Kvs 49</t>
  </si>
  <si>
    <t>Valve, 2-Way, Flanged, PN10, DN65, Kvs 63</t>
  </si>
  <si>
    <t>Valve, 2-Way, Flanged, PN10, DN80, Kvs 78</t>
  </si>
  <si>
    <t>Valve, 2-Way, Flanged, PN10, DN80, Kvs 100</t>
  </si>
  <si>
    <t>Valve, 2-Way, Flanged, PN10, DN100, Kvs 124</t>
  </si>
  <si>
    <t>Valve, 2-Way, Flanged, PN10, DN100, Kvs 160</t>
  </si>
  <si>
    <t>Valve, 2-Way, Flanged, PN10, DN125, Kvs 200</t>
  </si>
  <si>
    <t>Valve, 2-Way, Flanged, PN10, DN125, Kvs 250</t>
  </si>
  <si>
    <t>Valve, 2-Way, Flanged, PN10, DN150, Kvs 300</t>
  </si>
  <si>
    <t>Valve, 2-Way, Flanged, PN10, DN150, Kvs 315</t>
  </si>
  <si>
    <t>Valve, 3-Way, Flanged, PN10, DN50, Kvs 31</t>
  </si>
  <si>
    <t>Valve, 3-Way, Flanged, PN10, DN50, Kvs 40</t>
  </si>
  <si>
    <t>Valve, 3-Way, Flanged, PN10, DN65, Kvs 49</t>
  </si>
  <si>
    <t>Valve, 3-Way, Flanged, PN10, DN65, Kvs 63</t>
  </si>
  <si>
    <t>Valve, 3-Way, Flanged, PN10, DN80, Kvs 78</t>
  </si>
  <si>
    <t>Valve, 3-Way, Flanged, PN10, DN80, Kvs 100</t>
  </si>
  <si>
    <t>Valve, 3-Way, Flanged, PN10, DN100, Kvs 124</t>
  </si>
  <si>
    <t>Valve, 3-Way, Flanged, PN10, DN100, Kvs 160</t>
  </si>
  <si>
    <t>Valve, 3-Way, Flanged, PN10, DN125, Kvs 200</t>
  </si>
  <si>
    <t>Valve, 3-Way, Flanged, PN10, DN125, Kvs 250</t>
  </si>
  <si>
    <t>Valve, 3-Way, Flanged, PN10, DN150, Kvs 300</t>
  </si>
  <si>
    <t>Valve, 3-Way, Flanged, PN10, DN150, Kvs 315</t>
  </si>
  <si>
    <t>Valve, 2-Way, Flanged, PN16, DN65, Kvs 50 (S55206-V100)</t>
  </si>
  <si>
    <t>Valve, 2-Way, Flanged, PN16, DN65, Kvs 63 (S55206-V101)</t>
  </si>
  <si>
    <t>Valve, 2-Way, Flanged, PN16, DN80, Kvs 80 (S55206-V102)</t>
  </si>
  <si>
    <t>Valve, 2-Way, Flanged, PN16, DN80, Kvs 100 (S55206-V103)</t>
  </si>
  <si>
    <t>Valve, 2-Way, Flanged, PN16, DN100, Kvs 125 (S55206-V104)</t>
  </si>
  <si>
    <t>Valve, 2-Way, Flanged, PN16, DN100, Kvs 160 (S55206-V105)</t>
  </si>
  <si>
    <t>Valve, 2-Way, Flanged, PN16, DN125, Kvs 200 (S55206-V106)</t>
  </si>
  <si>
    <t>Valve, 2-Way, Flanged, PN16, DN125, Kvs 250 (S55206-V107)</t>
  </si>
  <si>
    <t>Valve, 2-Way, Flanged, PN16, DN150, Kvs 315 (S55206-V108)</t>
  </si>
  <si>
    <t>Valve, 2-Way, Flanged, PN16, DN150, Kvs 400 (S55206-V109)</t>
  </si>
  <si>
    <t>Valve, 3-Way, Flanged, PN16, DN65, Kvs 63 (S55206-V115)</t>
  </si>
  <si>
    <t>Valve, 3-Way, Flanged, PN16, DN80, Kvs 100 (S55206-V116)</t>
  </si>
  <si>
    <t>Valve, 3-Way, Flanged, PN16, DN100, Kvs 160 (S55206-V117)</t>
  </si>
  <si>
    <t>Valve, 3-Way, Flanged, PN16, DN125, Kvs 250 (S55206-V118)</t>
  </si>
  <si>
    <t>Valve, 3-Way, Flanged, PN16, DN150, Kvs 400 (S55206-V119)</t>
  </si>
  <si>
    <t>Valve, 2-Way, Flanged, PN16, DN65, Kvs 63 (Pressure Compensated) (S55206-V110)</t>
  </si>
  <si>
    <t>Valve, 2-Way, Flanged, PN16, DN80, Kvs 100 (Pressure Compensated) (S55206-V111)</t>
  </si>
  <si>
    <t>Valve, 2-Way, Flanged, PN25, DN15, Kvs 0.16 (S55208-V100)</t>
  </si>
  <si>
    <t>Valve, 2-Way, Flanged, PN25, DN15, Kvs 0.2 (S55208-V101)</t>
  </si>
  <si>
    <t>Valve, 2-Way, Flanged, PN25, DN15, Kvs 0.25 (S55208-V102)</t>
  </si>
  <si>
    <t>Valve, 2-Way, Flanged, PN25, DN15, Kvs 0.32 (S55208-V103)</t>
  </si>
  <si>
    <t>Valve, 2-Way, Flanged, PN25, DN15, Kvs 0.4 (S55208-V104)</t>
  </si>
  <si>
    <t>Valve, 2-Way, Flanged, PN25, DN15, Kvs 0.5 (S55208-V105)</t>
  </si>
  <si>
    <t>Valve, 2-Way, Flanged, PN25, DN15, Kvs 0.63 (S55208-V106)</t>
  </si>
  <si>
    <t>Valve, 2-Way, Flanged, PN25, DN15, Kvs 0.8 (S55208-V107)</t>
  </si>
  <si>
    <t>Valve, 2-Way, Flanged, PN25, DN15, Kvs 1 (S55208-V108)</t>
  </si>
  <si>
    <t>Valve, 2-Way, Flanged, PN25, DN15, Kvs 1.25 (S55208-V109)</t>
  </si>
  <si>
    <t>Valve, 2-Way, Flanged, PN25, DN15, Kvs 1.6 (S55208-V110)</t>
  </si>
  <si>
    <t>Valve, 2-Way, Flanged, PN25, DN15, Kvs 2 (S55208-V111)</t>
  </si>
  <si>
    <t>Valve, 2-Way, Flanged, PN25, DN15, Kvs 2.5 (S55208-V112)</t>
  </si>
  <si>
    <t>Valve, 2-Way, Flanged, PN25, DN15, Kvs 3.2 (S55208-V113)</t>
  </si>
  <si>
    <t>Valve, 2-Way, Flanged, PN25, DN15, Kvs 4 (S55208-V114)</t>
  </si>
  <si>
    <t>Valve, 2-Way, Flanged, PN25, DN20, Kvs 6.3 (S55208-V116)</t>
  </si>
  <si>
    <t>Valve, 2-Way, Flanged, PN25, DN25, Kvs 5 (S55208-V117)</t>
  </si>
  <si>
    <t>Valve, 2-Way, Flanged, PN25, DN25, Kvs 6.3 (S55208-V118)</t>
  </si>
  <si>
    <t>Valve, 2-Way, Flanged, PN25, DN25, Kvs 8 (S55208-V119)</t>
  </si>
  <si>
    <t>Valve, 2-Way, Flanged, PN25, DN25, Kvs 10 (S55208-V120)</t>
  </si>
  <si>
    <t>Valve, 2-Way, Flanged, PN25, DN32, Kvs 16 (S55208-V122)</t>
  </si>
  <si>
    <t>Valve, 2-Way, Flanged, PN25, DN40, Kvs 12.5 (S55208-V123)</t>
  </si>
  <si>
    <t>Valve, 2-Way, Flanged, PN25, DN40, Kvs 16 (S55208-V124)</t>
  </si>
  <si>
    <t>Valve, 2-Way, Flanged, PN25, DN40, Kvs 20 (S55208-V125)</t>
  </si>
  <si>
    <t>Valve, 2-Way, Flanged, PN25, DN40, Kvs 25 (S55208-V126)</t>
  </si>
  <si>
    <t>Valve, 2-Way, Flanged, PN25, DN50, Kvs 31.5 (S55208-V127)</t>
  </si>
  <si>
    <t>Valve, 2-Way, Flanged, PN25, DN50, Kvs 40 (S55208-V128)</t>
  </si>
  <si>
    <t>Valve, 2-Way, Flanged, PN25, DN65, Kvs 63 (S55208-V129)</t>
  </si>
  <si>
    <t>Valve, 2-Way, Flanged, PN25, DN80, Kvs 100 (S55208-V130)</t>
  </si>
  <si>
    <t>Valve, 2-Way, Flanged, PN25, DN100, Kvs 160 (S55208-V131)</t>
  </si>
  <si>
    <t>Valve, 2-Way, Flanged, PN25, DN125, Kvs 250 (S55208-V132)</t>
  </si>
  <si>
    <t>Valve, 2-Way, Flanged, PN25, DN150, Kvs 400 (S55208-V133)</t>
  </si>
  <si>
    <t>Valve, 3-Way, Flanged, PN25, DN15, Kvs 1.6 (S55208-V140)</t>
  </si>
  <si>
    <t>Valve, 3-Way, Flanged, PN25, DN15, Kvs 2.5 (S55208-V141)</t>
  </si>
  <si>
    <t>Valve, 3-Way, Flanged, PN25, DN15, Kvs 4 (S55208-V142)</t>
  </si>
  <si>
    <t>Valve, 3-Way, Flanged, PN25, DN20, Kvs 6.3 (S55208-V144)</t>
  </si>
  <si>
    <t>Valve, 3-Way, Flanged, PN25, DN25, Kvs 6.3 (S55208-V145)</t>
  </si>
  <si>
    <t>Valve, 3-Way, Flanged, PN25, DN25, Kvs 10 (S55208-V146)</t>
  </si>
  <si>
    <t>Valve, 3-Way, Flanged, PN25, DN32, Kvs 16 (S55208-V148)</t>
  </si>
  <si>
    <t>Valve, 3-Way, Flanged, PN25, DN40, Kvs 16 (S55208-V149)</t>
  </si>
  <si>
    <t>Valve, 3-Way, Flanged, PN25, DN40, Kvs 25 (S55208-V150)</t>
  </si>
  <si>
    <t>Valve, 3-Way, Flanged, PN25, DN50, Kvs 40 (S55208-V152)</t>
  </si>
  <si>
    <t>Valve, 3-Way, Flanged, PN25, DN65, Kvs 63 (S55208-V153)</t>
  </si>
  <si>
    <t>Valve, 3-Way, Flanged, PN25, DN80, Kvs 100 (S55208-V154)</t>
  </si>
  <si>
    <t>Valve, 3-Way, Flanged, PN25, DN100, Kvs 160 (S55208-V155)</t>
  </si>
  <si>
    <t>Valve, 3-Way, Flanged, PN25, DN125, Kvs 250 (S55208-V156)</t>
  </si>
  <si>
    <t>Valve, 3-Way, Flanged, PN25, DN150, Kvs 400 (S55208-V157)</t>
  </si>
  <si>
    <t>Valve, 2-Way, Flanged, PN25, DN50, Kvs 40 (Pressure Compensated) (S55208-V134)</t>
  </si>
  <si>
    <t>Valve, 2-Way, Flanged, PN25, DN65, Kvs 63 (Pressure Compensated) (S55208-V135)</t>
  </si>
  <si>
    <t>Valve, 2-Way, Flanged, PN25, DN80, Kvs 100 (Pressure Compensated) (S55208-V136)</t>
  </si>
  <si>
    <t>Valve, 2-Way, Internal Thread, PN16, DN15, Kvs 2.5</t>
  </si>
  <si>
    <t>Valve, 2-Way, Internal Thread, PN16, DN15, Kvs 4</t>
  </si>
  <si>
    <t>Valve, 2-Way, Internal Thread, PN16, DN20, Kvs 6.3</t>
  </si>
  <si>
    <t>Valve, 2-Way, Internal Thread, PN16, DN25, Kvs 10</t>
  </si>
  <si>
    <t>Valve, 2-Way, Internal Thread, PN16, DN32, Kvs 16</t>
  </si>
  <si>
    <t>Valve, 2-Way, Internal Thread, PN16, DN40, Kvs 25</t>
  </si>
  <si>
    <t>Valve, 2-Way, Internal Thread, PN16, DN50, Kvs 40</t>
  </si>
  <si>
    <t>Valve, 3-Way, Internal Thread, PN16, DN15, Kvs 4</t>
  </si>
  <si>
    <t>Valve, 3-Way, Internal Thread, PN16, DN20, Kvs 6.3</t>
  </si>
  <si>
    <t>Valve, 3-Way, Internal Thread, PN16, DN25, Kvs 10</t>
  </si>
  <si>
    <t>Valve, 3-Way, Internal Thread, PN16, DN32, Kvs 16</t>
  </si>
  <si>
    <t>Valve, 3-Way, Internal Thread, PN16, DN40, Kvs 25</t>
  </si>
  <si>
    <t>Valve, 3-Way, Internal Thread, PN16, DN50, Kvs 40</t>
  </si>
  <si>
    <t>Valve, 2-Way, External Thread, PN16, DN10, Kvs 0.25</t>
  </si>
  <si>
    <t>Valve, 2-Way, External Thread, PN16, DN10, Kvs 0.4</t>
  </si>
  <si>
    <t>Valve, 2-Way, External Thread, PN16, DN10, Kvs 0.63</t>
  </si>
  <si>
    <t>Valve, 2-Way, External Thread, PN16, DN10, Kvs 1</t>
  </si>
  <si>
    <t>Valve, 2-Way, External Thread, PN16, DN10, Kvs 1.6</t>
  </si>
  <si>
    <t>Valve, 2-Way, External Thread, PN16, DN15, Kvs 2.5</t>
  </si>
  <si>
    <t>Valve, 2-Way, External Thread, PN16, DN20, Kvs 4</t>
  </si>
  <si>
    <t>Valve, 2-Way, External Thread, PN16, DN20, Kvs 6.3</t>
  </si>
  <si>
    <t>Valve, 2-Way, External Thread, PN16, DN25, Kvs 10</t>
  </si>
  <si>
    <t>Valve, 2-Way, External Thread, PN16, DN32, Kvs 16</t>
  </si>
  <si>
    <t>Valve, 2-Way, External Thread, PN16, DN40, Kvs 25</t>
  </si>
  <si>
    <t>Valve, 3-Way, External Thread, PN16, DN10, Kvs 0.25</t>
  </si>
  <si>
    <t>Valve, 3-Way, External Thread, PN16, DN10, Kvs 0.4</t>
  </si>
  <si>
    <t>Valve, 3-Way, External Thread, PN16, DN10, Kvs 0.63</t>
  </si>
  <si>
    <t>Valve, 3-Way, External Thread, PN16, DN10, Kvs 1</t>
  </si>
  <si>
    <t>Valve, 3-Way, External Thread, PN16, DN10, Kvs 1.6</t>
  </si>
  <si>
    <t>Valve, 3-Way, External Thread, PN16, DN15, Kvs 2.5</t>
  </si>
  <si>
    <t>Valve, 3-Way, External Thread, PN16, DN20, Kvs 4</t>
  </si>
  <si>
    <t>Valve, 3-Way, External Thread, PN16, DN25, Kvs 6.3</t>
  </si>
  <si>
    <t>Valve, 3-Way, External Thread, PN16, DN25, Kvs 10</t>
  </si>
  <si>
    <t>Valve, 3-Way, External Thread, PN16, DN32, Kvs 16</t>
  </si>
  <si>
    <t>Valve, 3-Way, External Thread, PN16, DN40, Kvs 25</t>
  </si>
  <si>
    <t>Valve, 2-Way, External Thread, PN16, DN10, Kvs 2.5</t>
  </si>
  <si>
    <t>Valve, 2-Way, External Thread, PN16, DN15, Kvs 0.63</t>
  </si>
  <si>
    <t>Valve, 2-Way, External Thread, PN16, DN15, Kvs 1</t>
  </si>
  <si>
    <t>Valve, 2-Way, External Thread, PN16, DN15, Kvs 1.6</t>
  </si>
  <si>
    <t>Valve, 2-Way, External Thread, PN16, DN15, Kvs 4</t>
  </si>
  <si>
    <t>Valve, 2-Way, External Thread, PN16, DN50, Kvs 40</t>
  </si>
  <si>
    <t>Valve, 3-Way, External Thread, PN16, DN15, Kvs 1.6, Tight Bypass</t>
  </si>
  <si>
    <t>Valve, 3-Way, External Thread, PN16, DN15, Kvs 2.5, Tight Bypass</t>
  </si>
  <si>
    <t>Valve, 3-Way, External Thread, PN16, DN15, Kvs 4</t>
  </si>
  <si>
    <t>Valve, 3-Way, External Thread, PN16, DN20, Kvs 6.3</t>
  </si>
  <si>
    <t>Valve, 3-Way, External Thread, PN16, DN30, Kvs 16</t>
  </si>
  <si>
    <t>Valve, 3-Way, External Thread, PN16, DN50, Kvs 40</t>
  </si>
  <si>
    <t>Valve, 2-Way, External Thread, PN16, DN15, Kvs 0.25</t>
  </si>
  <si>
    <t>Valve, 2-Way, External Thread, PN16, DN15, Kvs 0.4</t>
  </si>
  <si>
    <t>Valve, 3-Way, External Thread, PN16, DN15, Kvs 0.25</t>
  </si>
  <si>
    <t>Valve, 3-Way, External Thread, PN16, DN15, Kvs 0.4</t>
  </si>
  <si>
    <t>Valve, 3-Way, External Thread, PN16, DN15, Kvs 0.63</t>
  </si>
  <si>
    <t>Valve, 3-Way, External Thread, PN16, DN15, Kvs 1</t>
  </si>
  <si>
    <t>Valve, 3-Way, External Thread, PN16, DN15, Kvs 1.6</t>
  </si>
  <si>
    <t>Ball Valve, 2-Way, Internal Thread, PN40, DN15, Kvs 1</t>
  </si>
  <si>
    <t>Ball Valve, 2-Way, Internal Thread, PN40, DN15, Kvs 1.6</t>
  </si>
  <si>
    <t>Ball Valve, 2-Way, Internal Thread, PN40, DN15, Kvs 2.5</t>
  </si>
  <si>
    <t>Ball Valve, 2-Way, Internal Thread, PN40, DN15, Kvs 4</t>
  </si>
  <si>
    <t>Ball Valve, 2-Way, Internal Thread, PN40, DN20, Kvs 6.3</t>
  </si>
  <si>
    <t>Ball Valve, 2-Way, Internal Thread, PN40, DN25, Kvs 10</t>
  </si>
  <si>
    <t>Ball Valve, 2-Way, Internal Thread, PN40, DN32, Kvs 16</t>
  </si>
  <si>
    <t>Ball Valve, 2-Way, Internal Thread, PN40, DN40, Kvs 25</t>
  </si>
  <si>
    <t>Ball Valve, 2-Way, Internal Thread, PN40, DN50, Kvs 40</t>
  </si>
  <si>
    <t>Ball Valve, 2-Way, Internal Thread, PN40, DN50, Kvs 63</t>
  </si>
  <si>
    <t>Ball Valve, 3-Way, Internal Thread, PN40, DN15, Kvs 1.6</t>
  </si>
  <si>
    <t>Ball Valve, 3-Way, Internal Thread, PN40, DN15, Kvs 2.5</t>
  </si>
  <si>
    <t>Ball Valve, 3-Way, Internal Thread, PN40, DN15, Kvs 4</t>
  </si>
  <si>
    <t>Ball Valve, 3-Way, Internal Thread, PN40, DN20, Kvs 6.3</t>
  </si>
  <si>
    <t>Ball Valve, 3-Way, Internal Thread, PN40, DN25, Kvs 10</t>
  </si>
  <si>
    <t>Ball Valve, 3-Way, Internal Thread, PN40, DN32, Kvs 16</t>
  </si>
  <si>
    <t>Ball Valve, 3-Way, Internal Thread, PN40, DN25, Kvs 25</t>
  </si>
  <si>
    <t>Ball Valve, 3-Way, Internal Thread, PN40, DN50, Kvs 40</t>
  </si>
  <si>
    <t>Ball Valve, 2-Way, Flanged, PN25, DN65, Kvs 63 (S55232-V100)</t>
  </si>
  <si>
    <t>Ball Valve, 2-Way, Flanged, PN25, DN80, Kvs100 (S55232-V101)</t>
  </si>
  <si>
    <t>Ball Valve, 2-Way, Flanged, PN25, DN100, Kvs 160 (S55232-V102)</t>
  </si>
  <si>
    <t>Ball Valve, 2-Way, Flanged, PN25, DN125, Kvs 200 (S55232-V103)</t>
  </si>
  <si>
    <t>Ball Valve, 2-Way, Flanged, PN25, DN150, Kvs 360 (S55232-V104)</t>
  </si>
  <si>
    <t>Butterfly Valve, Flanged, PN16, DN50, Kvs 65 (S55237-V100)</t>
  </si>
  <si>
    <t>Butterfly Valve, Flanged, PN16, DN65, Kvs 140 (S55237-V101)</t>
  </si>
  <si>
    <t>Butterfly Valve, Flanged, PN16, DN80, Kvs 210 (S55237-V102)</t>
  </si>
  <si>
    <t>Butterfly Valve, Flanged, PN16, DN100, Kvs 470 (S55237-V103)</t>
  </si>
  <si>
    <t>Butterfly Valve, Flanged, PN16, DN125, Kvs 750 (S55237-V104)</t>
  </si>
  <si>
    <t>Butterfly Valve, Flanged, PN16, DN150, Kvs 1250 (S55237-V105)</t>
  </si>
  <si>
    <t>Butterfly Valve, Flanged, PN16, DN200, Kvs 3100 (S55237-V106)</t>
  </si>
  <si>
    <t>Butterfly Valve, Flanged, PN16, DN250, Kvs 4050 (S55237-V107)</t>
  </si>
  <si>
    <t>Butterfly Valve, Flanged, PN16, DN300, Kvs 7500 (S55237-V108)</t>
  </si>
  <si>
    <t>Butterfly Valve, Flanged, PN16, DN350, Kvs 10250 (S55237-V109)</t>
  </si>
  <si>
    <t>Butterfly Valve, Flanged, PN16, DN400, Kvs 14100 (S55237-V110)</t>
  </si>
  <si>
    <t>Butterfly Valve, Flanged, PN16, DN450, Kvs 18500 (S55237-V111)</t>
  </si>
  <si>
    <t>Butterfly Valve, Flanged, PN16, DN500, Kvs 24000 (S55237-V112)</t>
  </si>
  <si>
    <t>Butterfly Valve, Flanged, PN16, DN600, Kvs 37000 (S55237-V113)</t>
  </si>
  <si>
    <t>Butterfly Valve, Flanged, PN16, DN40, Kvs 50</t>
  </si>
  <si>
    <t>Butterfly Valve, Flanged, PN16, DN50, Kvs 85</t>
  </si>
  <si>
    <t>Butterfly Valve, Flanged, PN16, DN65, Kvs 215</t>
  </si>
  <si>
    <t>Butterfly Valve, Flanged, PN16, DN80, Kvs 400</t>
  </si>
  <si>
    <t>Butterfly Valve, Flanged, PN16, DN100, Kvs 800</t>
  </si>
  <si>
    <t>Butterfly Valve, Flanged, PN16, DN125, Kvs 1010</t>
  </si>
  <si>
    <t>Butterfly Valve, Flanged, PN16, DN150, Kvs 2100</t>
  </si>
  <si>
    <t>Butterfly Valve, Flanged, PN16, DN200, Kvs 4000</t>
  </si>
  <si>
    <t>Butterfly Valve, Flanged, PN16, DN250, Kvs 6400</t>
  </si>
  <si>
    <t>Butterfly Valve, Flanged, PN16, DN300, Kvs 8500</t>
  </si>
  <si>
    <t>Butterfly Valve, Flanged, PN16, DN350, Kvs 11500</t>
  </si>
  <si>
    <t>Butterfly Valve, Flanged, PN16, DN400, Kvs 14500</t>
  </si>
  <si>
    <t>Butterfly Valve, Flanged, PN16, DN500, Kvs 21000</t>
  </si>
  <si>
    <t>Valve Accessory, Bracket for Mounting GEB Actuator to VKF42 DN50 to DN65</t>
  </si>
  <si>
    <t>Valve Accessory, Bracket for Mounting GBB/GIB Actuator to VKF42 DN50-100</t>
  </si>
  <si>
    <t>Valve Accessory, Bracket for Mounting GIB Actuator to VKF46 DN40-65</t>
  </si>
  <si>
    <t>Valve Accessory, Bracket for Mounting GIB Actuator to VKF46 DN80-125</t>
  </si>
  <si>
    <t>Valve Accessory, Bracket for Mounting GIB Actuator to VKF46 DN150-200</t>
  </si>
  <si>
    <t>Combi Valve, Internal Thread, DN15, 200l/h (53-1562)</t>
  </si>
  <si>
    <t>Combi Valve, Internal Thread, DN15, 575l/h (53-1564)</t>
  </si>
  <si>
    <t>Combi Valve, Internal Thread, DN20, 1330l/h (53-1568)</t>
  </si>
  <si>
    <t>Combi Valve, Internal Thread, DN15, 200l/h (53-1362) - Frese</t>
  </si>
  <si>
    <t>Combi Valve, Internal Thread, DN15, 575l/h (53-1364) - Frese</t>
  </si>
  <si>
    <t>Combi Valve, Internal Thread, DN20, 1330l/h (53-1368) - Frese</t>
  </si>
  <si>
    <t>Combi Valve, Internal Thread, DN25, 3600l/h (53-1373)</t>
  </si>
  <si>
    <t>Combi Valve, Internal Thread, DN32, 4000l/h (53-1374)</t>
  </si>
  <si>
    <t>Combi Valve, Internal Thread, DN40, 7105l/h (53-1077)</t>
  </si>
  <si>
    <t>Combi Valve, Internal Thread, DN50, 8586l/h (53-1078)</t>
  </si>
  <si>
    <t>Combi Valve, Internal Thread, DN40, 7105l/h (53-1097) - Frese</t>
  </si>
  <si>
    <t>Combi Valve, Internal Thread, DN50, 8586l/h (53-1098) - Frese</t>
  </si>
  <si>
    <t>Combi Valve, Flanged, PN16, DN50, 15m3/h (53-1200)</t>
  </si>
  <si>
    <t>Combi Valve, Flanged, PN16, DN50, 25m3/h (53-1210)</t>
  </si>
  <si>
    <t>Combi Valve, Flanged, PN16, DN65, 25m3/h (53-1201)</t>
  </si>
  <si>
    <t>Combi Valve, Flanged, PN16, DN65, 35m3/h (53-1211)</t>
  </si>
  <si>
    <t>Combi Valve, Flanged, PN16, DN80, 34m3/h (53-1202)</t>
  </si>
  <si>
    <t>Combi Valve, Flanged, PN16, DN80, 43m3/h (53-1212)</t>
  </si>
  <si>
    <t>Combi Valve, Flanged, PN16, DN100, 70m3/h (53-1203)</t>
  </si>
  <si>
    <t>Combi Valve, Flanged, PN16, DN100, 90m3/h (S53-1213)</t>
  </si>
  <si>
    <t>Combi Valve, Flanged, PN25, DN50, 15m3/h (53-1220)</t>
  </si>
  <si>
    <t>Combi Valve, Flanged, PN25, DN50, 25m3/h (53-1230)</t>
  </si>
  <si>
    <t>Combi Valve, Flanged, PN25, DN65, 25m3/h (53-1221)</t>
  </si>
  <si>
    <t>Combi Valve, Flanged, PN25, DN65, 35m3/h (53-1231)</t>
  </si>
  <si>
    <t>Combi Valve, Flanged, PN25, DN80, 34m3/h (53-1222)</t>
  </si>
  <si>
    <t>Combi Valve, Flanged, PN25, DN80, 43m3/h (53-1232)</t>
  </si>
  <si>
    <t>Combi Valve, Flanged, PN25, DN100, 70m3/h (53-1223)</t>
  </si>
  <si>
    <t>Combi Valve, Flanged, PN25, DN100, 90m3/h (53-1233)</t>
  </si>
  <si>
    <t>Valve Accessory, G½" Fitting - 2 Brass Fittings</t>
  </si>
  <si>
    <t>Valve Accessory, G¾" Fitting - 2 Brass Fittings</t>
  </si>
  <si>
    <t>Valve Accessory, 15mm Fitting - 2 Brass Fittings (S55846-Z100)</t>
  </si>
  <si>
    <t>Valve Accessory, 20mm Fitting - 2 Brass Fittings (S55846-Z102)</t>
  </si>
  <si>
    <t>Valve Accessory, 25mm Fitting - 2 Brass Fittings (S55846-Z104)</t>
  </si>
  <si>
    <t>Valve Accessory, 32mm Fitting - 2 Brass Fittings (S55846-Z106)</t>
  </si>
  <si>
    <t>Valve Accessory, 40mm Fitting - 2 Brass Fittings (S55846-Z108)</t>
  </si>
  <si>
    <t>Valve Accessory, 50mm Fitting - 2 Brass Fittings (S55846-Z110)</t>
  </si>
  <si>
    <t>Valve Actuator, 100N, 2.5mm Stroke, AC/DC 24V, Modulating, NSR (Equal percentage)</t>
  </si>
  <si>
    <t>Valve Actuator, 100N, 2.5mm Stroke, AC 24V, Modulating, SR (NC) (S55174-A104)</t>
  </si>
  <si>
    <t>Valve Actuator, 160N, 2.5mm Stroke, AC/DC 24V, Modulating, NSR</t>
  </si>
  <si>
    <t>Valve Actuator, 200N, 5.5mm Stroke, AC/DC 24V, Modulating, NSR</t>
  </si>
  <si>
    <t>Valve Actuator, 200N, 5.5mm Stroke, AC 24V, 3-Pos, NSR</t>
  </si>
  <si>
    <t>Valve Actuator, 300N, 5.5mm Stroke, AC/DC 24V, Modulating, NSR</t>
  </si>
  <si>
    <t>Valve Actuator, 400N, 5.5mm Stroke, AC 24V, Modulating, NSR</t>
  </si>
  <si>
    <t>Valve Actuator, 400N, 6.5mm Stroke, AC 24V, Modulating, NSR</t>
  </si>
  <si>
    <t>Valve Actuator, 800N, 20mm Stroke, AC/DC 24V, Modulating, NSR (S55150-A100)</t>
  </si>
  <si>
    <t>Combi Valve Actuator, 500N, 20mm Stroke, AC/DC 24V, 0-10V, 4-20mA, NSR (S55150-A114)</t>
  </si>
  <si>
    <t>Valve Actuator, 1000N, 20mm Stroke, AC 24V, Modulating, NSR</t>
  </si>
  <si>
    <t>Valve Actuator, 2800N, 20mm Stroke, AC 24V, Modulating, NSR</t>
  </si>
  <si>
    <t>Valve Actuator, 2800N, 40mm Stroke, AC 24V, Modulating, NSR</t>
  </si>
  <si>
    <t>Valve Actuator, 1100N, 20mm / 40mm Stroke, AC/DC 24V or AC 230V, DC 0…10 V, 4…20mA or 3-position (Fail Closed) (S55150-A131)</t>
  </si>
  <si>
    <t>Ball Valve Actuator, Rotary, 5Nm, AC 24V, 0…10V, NSR</t>
  </si>
  <si>
    <t>Ball Valve Actuator, Rotary, 10Nm, AC 24V, 0…10V, NSR</t>
  </si>
  <si>
    <t>Valve Actuator, Rotary, 100Nm, 6sec, AC 230V, 3-Pos</t>
  </si>
  <si>
    <t>Valve Actuator, Rotary, 400Nm, 12sec, AC 230V, 3-Pos</t>
  </si>
  <si>
    <t>Valve Actuator, Rotary, 1200Nm, 24sec, AC 230V, 3-Pos</t>
  </si>
  <si>
    <t>Valve Actuator, Rotary, 50Nm, 19sec, AC 230V, 2-Pos (S55164-A101)</t>
  </si>
  <si>
    <t>Valve Actuator, Rotary, 50Nm, 19sec, AC 230V, 0…10V (S55164-A102)</t>
  </si>
  <si>
    <t>Valve Actuator, Rotary, 150Nm, 39sec, AC 230V, 2-Pos (S55164-A103)</t>
  </si>
  <si>
    <t>Valve Actuator, Rotary, 150Nm, 39sec, AC 230V, 0…10V (S55164-A104)</t>
  </si>
  <si>
    <t>Valve Actuator, Rotary, 270Nm, 39sec, AC 230V, 2-Pos (S55164-A105)</t>
  </si>
  <si>
    <t>Valve Actuator, Rotary, 270Nm, 39sec, AC 230V, 0…10V (S55164-A106)</t>
  </si>
  <si>
    <t>Valve Actuator, Rotary, 570Nm, 47sec, AC 230V, 2-Pos (S55164-A107)</t>
  </si>
  <si>
    <t>Valve Actuator, Rotary, 570Nm, 47sec, AC 230V, 0…10V (S55164-A108)</t>
  </si>
  <si>
    <t>Valve Actuator, Rotary, 1400Nm, 76sec, AC 230V, 2-Pos (S55164-A109)</t>
  </si>
  <si>
    <t>Valve Actuator, Rotary, 1400Nm, 76sec, AC 230V, 0…10V (S55164-A110)</t>
  </si>
  <si>
    <t>Valve Actuator, Rotary, 2650Nm, 105sec, AC 230V, 2-Pos (S55164-A111)</t>
  </si>
  <si>
    <t>Valve Actuator, Rotary, 2650Nm, 105sec, AC 230V, 0…10V (S55164-A112)</t>
  </si>
  <si>
    <t>Damper Actuator, Rotary, 2Nm, AC/DC 24V, 2-Pos, NSR</t>
  </si>
  <si>
    <t>GSD321.1A</t>
  </si>
  <si>
    <t>Damper Actuator, Rotary, 2Nm, AC 230V, 2-Pos, NSR</t>
  </si>
  <si>
    <t>Damper Actuator, Rotary, 5Nm, AC 24V, 3-Pos, NSR</t>
  </si>
  <si>
    <t>Damper Actuator, Rotary, 5Nm, AC 24V, 0…10V, NSR</t>
  </si>
  <si>
    <t>Damper Actuator, Rotary, 5Nm, AC 230V, 3-Pos, NSR</t>
  </si>
  <si>
    <t>Damper Actuator, Rotary, 10Nm, AC 24V, 3-Pos, NSR</t>
  </si>
  <si>
    <t>Damper Actuator, Rotary, 10Nm, AC 24V, 0…10V, NSR</t>
  </si>
  <si>
    <t>Damper Actuator, Rotary, 10Nm, AC 230V, 3-Pos, NSR</t>
  </si>
  <si>
    <t>Damper Actuator, Rotary, 15,Nm, AC 24V, 3-Pos, NSR</t>
  </si>
  <si>
    <t>Damper Actuator, Rotary, 15,Nm, AC 24V, 0…10V or DC 2…10V, NSR</t>
  </si>
  <si>
    <t>Damper Actuator, Rotary, 15,Nm, AC 230V, 3-Pos, NSR</t>
  </si>
  <si>
    <t>Damper Actuator, Rotary, 25Nm, AC 24V, 3-Pos, NSR</t>
  </si>
  <si>
    <t>Damper Actuator, Rotary, 25Nm, AC 24V, 0…10V, NSR</t>
  </si>
  <si>
    <t>Damper Actuator, Rotary, 25Nm, AC 230V, 3-Pos, NSR</t>
  </si>
  <si>
    <t>Damper Actuator, Rotary, 35Nm, AC 24V, 3-Pos, NSR</t>
  </si>
  <si>
    <t>Damper Actuator, Rotary, 35Nm, AC 24V, 0…10V, NSR</t>
  </si>
  <si>
    <t>Damper Actuator, Rotary, 35Nm, AC 230V, 3-Pos, NSR</t>
  </si>
  <si>
    <t>Damper Actuator, Rotary, 2Nm, AC/DC 24V, 2-Pos, SR</t>
  </si>
  <si>
    <t>Damper Actuator, Rotary, 2Nm, AC/DC 24V, 3-Pos, SR</t>
  </si>
  <si>
    <t>Damper Actuator, Rotary, 2Nm, AC/DC 24V, 0…10V, SR</t>
  </si>
  <si>
    <t>Damper Actuator, Rotary, 2Nm, AC 230V, 2-Pos, SR</t>
  </si>
  <si>
    <t>Damper Actuator, Rotary, 4Nm, AC 24V, 2-Pos, SR</t>
  </si>
  <si>
    <t>Damper Actuator, Rotary, 4Nm, AC 24V, DC 0..10V, SR</t>
  </si>
  <si>
    <t>Damper Actuator, Rotary, 4Nm, AC 230V, 2-Pos, SR</t>
  </si>
  <si>
    <t>Damper Actuator, Rotary, 7Nm, AC/DC 24V, 2-Pos, SR</t>
  </si>
  <si>
    <t>Damper Actuator, Rotary, 7Nm, AC/DC 24V, 3-Pos, SR</t>
  </si>
  <si>
    <t>Damper Actuator, Rotary, 7Nm, AC/DC 24V, DC 2…10V, SR, (US) Signal Inversion</t>
  </si>
  <si>
    <t>Damper Actuator, Rotary, 7Nm, AC/DC 24V, 0…10V, SR</t>
  </si>
  <si>
    <t>Damper Actuator, Rotary, 7Nm, AC 230V, 2-Pos, SR</t>
  </si>
  <si>
    <t>Damper Actuator, Fire, Rotary, 16Nm, AC 24V, 2-Pos, SR (US)</t>
  </si>
  <si>
    <t>Damper Actuator, Fire, Rotary, 16Nm, AC 230V, 2-Pos, SR (US)</t>
  </si>
  <si>
    <t>Damper Actuator, Rotary, 18Nm, AC/DC 24V, 2-Pos, SR</t>
  </si>
  <si>
    <t>Damper Actuator, Rotary, 18Nm, AC/DC 24V, 3-Pos, SR</t>
  </si>
  <si>
    <t>Damper Actuator, Rotary, 16Nm, AC/DC 24V, 0…10V or DC 2…10V, SR (US), Sig Inv</t>
  </si>
  <si>
    <t>Damper Actuator, Rotary, 18Nm, AC/DC 24V, 0…10V, SR</t>
  </si>
  <si>
    <t>Damper Actuator, Rotary, 18Nm, AC 230V, 2-Pos, SR</t>
  </si>
  <si>
    <t>Damper Actuator, Fire, Rotary, 6Nm, AC/DC 24V, 2-Pos, SR, UL Listed</t>
  </si>
  <si>
    <t>Damper Actuator, Fire, Rotary, 6Nm, AC/DC 24V, 2-Pos, SR, Fixed Aux. Switches, UL Listed</t>
  </si>
  <si>
    <t>Damper Actuator, Fire, Rotary, 6Nm, AC 230V, 2-Pos, SR, UL Listed</t>
  </si>
  <si>
    <t>Damper Actuator, Fire, Rotary, 6Nm, AC 230V, 2-Pos, SR, Fixed Aux. Switches, UL Listed</t>
  </si>
  <si>
    <t>Revision:</t>
  </si>
  <si>
    <t>Combi Valve, Flanged, PN25, DN125, 110m3/h (53-1204)</t>
  </si>
  <si>
    <t>Combi Valve, Flanged, PN25, DN125, 135m3/h (53-1214)</t>
  </si>
  <si>
    <t>Combi Valve, Flanged, PN25, DN150, 148m3/h (53-1205)</t>
  </si>
  <si>
    <t>Combi Valve, Flanged, PN25, DN150, 195m3/h (53-1215)</t>
  </si>
  <si>
    <t>Ball Valve, 2-Way, Internal Thread, Brass-Ni, DN15, Kvs 0.34</t>
  </si>
  <si>
    <t>Ball Valve, 2-Way, Internal Thread, Brass-Ni, DN15, Kvs 0.54</t>
  </si>
  <si>
    <t>Ball Valve, 2-Way, Internal Thread, Brass-Ni, DN15, Kvs 0.9</t>
  </si>
  <si>
    <t>Ball Valve, 2-Way, Internal Thread, Brass-Ni, DN15, Kvs 1.4</t>
  </si>
  <si>
    <t>Ball Valve, 2-Way, Internal Thread, Brass-Ni, DN15, Kvs 2.2</t>
  </si>
  <si>
    <t>Ball Valve, 2-Way, Internal Thread, Brass-Ni, DN15, Kvs 3.5</t>
  </si>
  <si>
    <t>Ball Valve, 2-Way, Internal Thread, Brass-Ni, DN15, Kvs 8.6</t>
  </si>
  <si>
    <t>Ball Valve, 2-Way, Internal Thread, Brass-Ni, DN20, Kvs 5.4</t>
  </si>
  <si>
    <t>Ball Valve, 2-Way, Internal Thread, Brass-Ni, DN20, Kvs 8.6</t>
  </si>
  <si>
    <t>Ball Valve, 2-Way, Internal Thread, Brass-Ni, DN20, Kvs 22</t>
  </si>
  <si>
    <t>Ball Valve, 2-Way, Internal Thread, Brass-Ni, DN25, Kvs 14</t>
  </si>
  <si>
    <t>Ball Valve, 2-Way, Internal Thread, Brass-Ni, DN25, Kvs 22</t>
  </si>
  <si>
    <t>Ball Valve, 2-Way, Internal Thread, Brass-Ni, DN25, Kvs 54</t>
  </si>
  <si>
    <t>Ball Valve, 2-Way, Internal Thread, Brass-Ni, DN30, Kvs 14</t>
  </si>
  <si>
    <t>Ball Valve, 2-Way, Internal Thread, Brass-Ni, DN30, Kvs 34</t>
  </si>
  <si>
    <t>Ball Valve, 2-Way, Internal Thread, Brass-Ni, DN30, Kvs 54</t>
  </si>
  <si>
    <t>Ball Valve, 2-Way, Internal Thread, Brass-Ni, DN30, Kvs 90</t>
  </si>
  <si>
    <t>Ball Valve, 2-Way, Internal Thread, Brass-Ni, DN40, Kvs 22</t>
  </si>
  <si>
    <t>Ball Valve, 2-Way, Internal Thread, Brass-Ni, DN40, Kvs 34</t>
  </si>
  <si>
    <t>Ball Valve, 2-Way, Internal Thread, Brass-Ni, DN40, Kvs 140</t>
  </si>
  <si>
    <t>Ball Valve, 2-Way, Internal Thread, Brass-Ni, DN50, Kvs 34</t>
  </si>
  <si>
    <t>Ball Valve, 2-Way, Internal Thread, Brass-Ni, DN50, Kvs 54</t>
  </si>
  <si>
    <t>Ball Valve, 2-Way, Internal Thread, Brass-Ni, DN50, Kvs 140</t>
  </si>
  <si>
    <t>Ball Valve, 3-Way, Internal Thread, Brass-Ni, DN15, Kvs 0.34</t>
  </si>
  <si>
    <t>Ball Valve, 3-Way, Internal Thread, Brass-Ni, DN15, Kvs 0.54</t>
  </si>
  <si>
    <t>Ball Valve, 3-Way, Internal Thread, Brass-Ni, DN15, Kvs 0.86</t>
  </si>
  <si>
    <t>Ball Valve, 3-Way, Internal Thread, Brass-Ni, DN15, Kvs 1.4</t>
  </si>
  <si>
    <t>Ball Valve, 3-Way, Internal Thread, Brass-Ni, DN15, Kvs 2.2</t>
  </si>
  <si>
    <t>Ball Valve, 3-Way, Internal Thread, Brass-Ni, DN15, Kvs 3.5</t>
  </si>
  <si>
    <t>Ball Valve, 3-Way, Internal Thread, Brass-Ni, DN15, Kvs 5.5</t>
  </si>
  <si>
    <t>Ball Valve, 3-Way, Internal Thread, Brass-Ni, DN15, Kvs 8.6</t>
  </si>
  <si>
    <t>Ball Valve, 3-Way, Internal Thread, Brass-Ni, DN20, Kvs 5.5</t>
  </si>
  <si>
    <t>Ball Valve, 3-Way, Internal Thread, Brass-Ni, DN20, Kvs 8.6</t>
  </si>
  <si>
    <t>Ball Valve, 3-Way, Internal Thread, Brass-Ni, DN20, Kvs 14</t>
  </si>
  <si>
    <t>Ball Valve, 3-Way, Internal Thread, Brass-Ni, DN25, Kvs 8.6</t>
  </si>
  <si>
    <t>599-10258</t>
  </si>
  <si>
    <t>Ball Valve, 3-Way, Internal Thread, Brass-Ni, DN25, Kvs 14</t>
  </si>
  <si>
    <t>599-10363</t>
  </si>
  <si>
    <t>Ball Valve, 3-Way, Internal Thread, Brass-Ni, DN25, Kvs 22</t>
  </si>
  <si>
    <t>Ball Valve, 3-Way, Internal Thread, Brass-Ni, DN30, Kvs 14</t>
  </si>
  <si>
    <t>Ball Valve, 3-Way, Internal Thread, Brass-Ni, DN30, Kvs 35</t>
  </si>
  <si>
    <t>599-10262</t>
  </si>
  <si>
    <t>Ball Valve, 3-Way, Internal Thread, Brass-Ni, DN40, Kvs 14</t>
  </si>
  <si>
    <t>Ball Valve, 3-Way, Internal Thread, Brass-Ni, DN40, Kvs 22</t>
  </si>
  <si>
    <t>Ball Valve, 3-Way, Internal Thread, Brass-Ni, DN40, Kvs 54</t>
  </si>
  <si>
    <t>Ball Valve, 3-Way, Internal Thread, Brass-Ni, DN50, Kvs 35</t>
  </si>
  <si>
    <t>Ball Valve, 3-Way, Internal Thread, Brass-Ni, DN50, Kvs 86</t>
  </si>
  <si>
    <t>Ball Valve Assembly, 599-10300 2-Way, Internal Thread, DN15, Kvs 0.34; GDE131.1P 5Nm, AC 24V, 3-Pos, NSR</t>
  </si>
  <si>
    <t>Ball Valve Assembly, 599-10301 2-Way, Internal Thread, DN15, Kvs 0.54; GDE131.1P 5Nm, AC 24V, 3-Pos, NSR</t>
  </si>
  <si>
    <t>Ball Valve Assembly, 599-10302 2-Way, Internal Thread, DN15, Kvs 0.86; GDE131.1P 5Nm, AC 24V, 3-Pos, NSR</t>
  </si>
  <si>
    <t>Ball Valve Assembly, 599-10303 2-Way, Internal Thread, DN15, Kvs 1.4; GDE131.1P 5Nm, AC 24V, 3-Pos, NSR</t>
  </si>
  <si>
    <t>Ball Valve Assembly, 599-10304 2-Way, Internal Thread, DN15, Kvs 2.2; GDE131.1P 5Nm, AC 24V, 3-Pos, NSR</t>
  </si>
  <si>
    <t>Ball Valve Assembly, 599-10305 2-Way, Internal Thread, DN15, Kvs 3.5; GDE131.1P 5Nm, AC 24V, 3-Pos, NSR</t>
  </si>
  <si>
    <t>Ball Valve Assembly, 599-10305 2-Way, Internal Thread, DN15, Kvs 5.4; GDE131.1P 5Nm, AC 24V, 3-Pos, NSR</t>
  </si>
  <si>
    <t>171A-10307</t>
  </si>
  <si>
    <t>Ball Valve Assembly, 599-10305 2-Way, Internal Thread, DN15, Kvs 8.6; GDE131.1P 5Nm, AC 24V, 3-Pos, NSR</t>
  </si>
  <si>
    <t>Ball Valve Assembly, 599-10308 2-Way, Internal Thread, DN20, Kvs 5.4; GDE131.1P 5Nm, AC 24V, 3-Pos, NSR</t>
  </si>
  <si>
    <t>Ball Valve Assembly, 599-10309 2-Way, Internal Thread, DN20, Kvs 8.6; GDE131.1P 5Nm, AC 24V, 3-Pos, NSR</t>
  </si>
  <si>
    <t>171A-10310</t>
  </si>
  <si>
    <t>Ball Valve Assembly, 599-10309 2-Way, Internal Thread, DN20, Kvs 14; GDE131.1P 5Nm, AC 24V, 3-Pos, NSR</t>
  </si>
  <si>
    <t>Ball Valve Assembly, 599-10312 2-Way, Internal Thread, DN25, Kvs 8.6; GDE131.1P 5Nm, AC 24V, 3-Pos, NSR</t>
  </si>
  <si>
    <t>Ball Valve Assembly, 599-10313 2-Way, Internal Thread, DN25, Kvs 14; GDE131.1P 5Nm, AC 24V, 3-Pos, NSR</t>
  </si>
  <si>
    <t>Ball Valve Assembly, 599-10314 2-Way, Internal Thread, DN25, Kvs 22; GDE131.1P 5Nm, AC 24V, 3-Pos, NSR</t>
  </si>
  <si>
    <t>Ball Valve Assembly, 599-10320 2-Way, Internal Thread, DN30, Kvs 54; GDE131.1P 10Nm, AC 24V, 3-Pos, NSR</t>
  </si>
  <si>
    <t>Ball Valve Assembly, 599-10323 2-Way, Internal Thread, DN40, Kvs 34; GLB131.1P 10Nm, AC 24V, 3-Pos, NSR</t>
  </si>
  <si>
    <t>Ball Valve Assembly, 599-10328 2-Way, Internal Thread, DN50, Kvs 54; GLB131.1P 10Nm, AC 24V, 3-Pos, NSR</t>
  </si>
  <si>
    <t>Ball Valve Assembly, 599-10350 3-Way, Internal Thread, DN15, Kvs 0.34; GDE131.1P 5Nm, AC 24V, 3-Pos, NSR</t>
  </si>
  <si>
    <t>Ball Valve Assembly, 599-10351 3-Way, Internal Thread, DN15, Kvs 0.54; GDE131.1P 5Nm AC 24V 3-Pos, NSR</t>
  </si>
  <si>
    <t>Ball Valve Assembly, 599-10352 3-Way, Internal Thread, DN15, Kvs 0.86; GDE131.1P, 5Nm AC 24V 3-Pos, NSR</t>
  </si>
  <si>
    <t>Ball Valve Assembly, 599-10353 3-Way, Internal Thread, DN15, Kvs 1.4: GDE131.1P, 5Nm AC 24V 3-Pos, NSR</t>
  </si>
  <si>
    <t>Ball Valve Assembly, 599-10354 3-Way, Internal Thread, DN15, Kvs 2.2; GDE131.1P, 5Nm AC 24V 3-Pos, NSR</t>
  </si>
  <si>
    <t>Ball Valve Assembly, 599-10355 3-Way, Internal Thread, DN15, Kvs 3.5; GDE131.1P, 5Nm AC 24V 3-Pos, NSR</t>
  </si>
  <si>
    <t>Ball Valve Assembly, 599-10356 3-Way, Internal Thread, DN15, Kvs 5.5; GDE131.1P, 5Nm AC 24V 3-Pos, NSR</t>
  </si>
  <si>
    <t>Ball Valve Assembly, 599-10357 3-Way, Internal Thread, DN15, Kvs 8.6; GDE131.1P, 5Nm AC 24V 3-Pos, NSR</t>
  </si>
  <si>
    <t>Ball Valve Assembly, 599-10358 3-Way, Internal Thread, DN20, Kvs 5.5; GDE131.1P, 5Nm AC 24V 3-Pos, NSR</t>
  </si>
  <si>
    <t>Ball Valve Assembly, 599-10359 3-Way, Internal Thread, DN20, Kvs 8.6; GDE131.1P, 5Nm AC 24V 3-Pos, NSR</t>
  </si>
  <si>
    <t>Ball Valve Assembly, 599-10360 3-Way, Internal Thread, DN20, Kvs 14; GDE131.1P, 5Nm AC 24V 3-Pos, NSR</t>
  </si>
  <si>
    <t>Ball Valve Assembly, 599-10257 3-Way, Internal Thread, DN25, Kvs 8.6; GDE131.1P, 5Nm AC 24V 3-Pos, NSR</t>
  </si>
  <si>
    <t>171A-10258</t>
  </si>
  <si>
    <t>Ball Valve Assembly, 599-10258 3-Way, Internal Thread, DN25, Kvs 14; GDE131.1P, 5Nm, AC 24V, 3-Pos, NSR</t>
  </si>
  <si>
    <t>Ball Valve Assembly, 599-10263 3-Way, Internal Thread, DN40, Kvs 22; GLB131.1P 10Nm, AC 24V, 3-Pos, NSR</t>
  </si>
  <si>
    <t>Ball Valve Assembly, 599-10266 3-Way, Internal Thread, DN50, Kvs 35; GLB131.1P 10Nm, AC 24V, 3-Pos, NSR</t>
  </si>
  <si>
    <t>Ball Valve Assembly, 599-10300 2-Way, Internal Thread, DN15, Kvs 0.34; GDE161.1P 5Nm, AC 24V, 0…10V, NSR</t>
  </si>
  <si>
    <t>Ball Valve Assembly, 599-10301 2-Way, Internal Thread, DN15, Kvs 0.54; GDE161.1P 5Nm, AC 24V, 0…10V, NSR</t>
  </si>
  <si>
    <t>Ball Valve Assembly, 599-10302 2-Way, Internal Thread, DN15, Kvs 0.86; GDE161.1P 5Nm, AC 24V, 0-10V, NSR</t>
  </si>
  <si>
    <t>Ball Valve Assembly, 599-10303 2-Way, Internal Thread, DN15, Kvs 1.4; GDE161.1P 5Nm, AC 24V, 0…10V, NSR</t>
  </si>
  <si>
    <t>Ball Valve Assembly, 599-10304 2-Way, Internal Thread, DN15, Kvs 2.2; GDE161.1P 5Nm, AC 24V, 0…10V, NSR</t>
  </si>
  <si>
    <t>Ball Valve Assembly, 599-10305 2-Way, Internal Thread, DN15, Kvs 3.5; GDE161.1P 5Nm, AC 24V, 0…10V, NSR</t>
  </si>
  <si>
    <t>Ball Valve Assembly, 599-10306 2-Way, Internal Thread, DN15, Kvs 5.4; GDE161.1P 5Nm, AC 24V, 0...10V, NSR</t>
  </si>
  <si>
    <t>Ball Valve Assembly, 599-10308 2-Way, Internal Thread, DN20, Kvs 5.4; GDE161.1P 5Nm, AC 24V, 0...10V, NSR</t>
  </si>
  <si>
    <t>Ball Valve Assembly, 599-10309 2-Way, Internal Thread, DN20, Kvs 8.6; GDE161.1P 5Nm, AC 24V, 0…10V, NSR</t>
  </si>
  <si>
    <t>Ball Valve Assembly, 599-10313 2-Way, Internal Thread, DN25, Kvs 8.6; GDE161.1P 5Nm, AC 24V, 0…10V, NSR</t>
  </si>
  <si>
    <t>Ball Valve Assembly, 599-10313 2-Way, Internal Thread, DN25, Kvs 14; GDE161.1P 5Nm, AC 24V, 0…10V, NSR</t>
  </si>
  <si>
    <t>Ball Valve Assembly, 599-10314 2-Way, Internal Thread, DN25, Kvs 22; GDE161.1P 5Nm, AC 24V, 0…10V, NSR</t>
  </si>
  <si>
    <t>Ball Valve Assembly, 599-10315 2-Way, Internal Thread, DN25, Kvs 34; GDE161.1P 5Nm, AC 24V, 0...10V, NSR</t>
  </si>
  <si>
    <t>Ball Valve Assembly, 599-10317 2-Way, Internal Thread, DN30, Kvs 14; GDE161.1P 5Nm, AC 24V, 0…10V, NSR</t>
  </si>
  <si>
    <t>171C-10318</t>
  </si>
  <si>
    <t>Ball Valve Assembly, 599-10319 2-Way, Internal Thread, DN30, Kvs 22; GDE161.1P 5Nm, AC 24V, 0…10V, NSR</t>
  </si>
  <si>
    <t>Ball Valve Assembly, 599-10319 2-Way, Internal Thread, DN30, Kvs 34; GDE161.1P 5Nm, AC 24V, 0…10V, NSR</t>
  </si>
  <si>
    <t>Ball Valve Assembly, 599-10320 2-Way, Internal Thread, DN30, Kvs 54; GDE161.1P 5Nm, AC 24V, 0…10V, NSR</t>
  </si>
  <si>
    <t>Ball Valve Assembly, 599-10322 2-Way, Internal Thread, DN40, Kvs 22; GLB161.1P 5Nm, AC 24V, 0…10V, NSR</t>
  </si>
  <si>
    <t>Ball Valve Assembly, 599-10323 2-Way, Internal Thread, DN40, Kvs 34; GLB161.1P 10Nm, AC 24V, 0…10V, NSR</t>
  </si>
  <si>
    <t>171D-10327</t>
  </si>
  <si>
    <t>Ball Valve Assembly, 599-10327 2-Way, Internal Thread, DN50, Kvs 34; GLB161.1P 10Nm, AC 24V, 0…10V, NSR</t>
  </si>
  <si>
    <t>Ball Valve Assembly, 599-10328 2-Way, Internal Thread, DN50, Kvs 54; GLB161.1P 10Nm, AC 24V, 0…10V, NSR</t>
  </si>
  <si>
    <t>Ball Valve Assembly, 599-10350 3-Way, Internal Thread, DN15, Kvs 0.34; GDE161.1P 5Nm, AC 24V, 0…10V, NSR</t>
  </si>
  <si>
    <t>Ball Valve Assembly, 599-10351 3-Way, Internal Thread, DN15, Kvs 0.54; GDE161.1P 5Nm, AC 24V, 0…10V, NSR</t>
  </si>
  <si>
    <t xml:space="preserve">Ball Valve Assembly, 599-10352 3-Way, Internal Thread, DN15, Kvs 0.86; GDE161.1P 5Nm, AC 24V, 0…10V, NSR </t>
  </si>
  <si>
    <t>Ball Valve Assembly, 599-10352 3-Way, Internal Thread, DN15, Kvs 1.4; GDE161.1P 5Nm, AC 24V, 0…10V, NSR</t>
  </si>
  <si>
    <t>Ball Valve Assembly, 599-10354 3-Way, Internal Thread, DN15, Kvs 2.2; GDE161.1P 5Nm, AC 24V, 0…10V, NSR</t>
  </si>
  <si>
    <t>Ball Valve Assembly, 599-10355 3-Way, Internal Thread, DN15, Kvs 3.5; GDE161.1P 5Nm, AC 24V, 0…10V, NSR</t>
  </si>
  <si>
    <t>Ball Valve Assembly, 599-10356 3-Way, Internal Thread, DN15, Kvs 5.5; GDE161.1P 5Nm, AC 24V, 0…10V, NSR</t>
  </si>
  <si>
    <t>Ball Valve Assembly, 599-10357 3-Way, Internal Thread, DN15, Kvs 8.6; GDE161.1P 5Nm, AC 24V, 0…10V, NSR</t>
  </si>
  <si>
    <t>Ball Valve Assembly, 599-10358 3-Way, Internal Thread, DN20, Kvs 5.5; GDE161.1P 5Nm, AC 24V, 0…10V, NSR</t>
  </si>
  <si>
    <t>Ball Valve Assembly, 599-10359 3-Way, Internal Thread, DN20, Kvs 8.6; GDE161.1P 5Nm, AC 24V, 0…10V, NSR</t>
  </si>
  <si>
    <t>Ball Valve Assembly, 599-10360 3-Way, Internal Thread, DN20, Kvs 14; GDE161.1P 5Nm, AC 24V, 0…10V, NSR</t>
  </si>
  <si>
    <t>Ball Valve Assembly, 599-10361 3-Way, Internal Thread, DN25, Kvs 8.6; GDE161.1P 5Nm, AC 24V, 0…10V, NSR</t>
  </si>
  <si>
    <t>Ball Valve Assembly, 599-10362 3-Way, Internal Thread, DN25, Kvs 14; GDE161.1P 5Nm, AC 24V, 0…10V, NSR</t>
  </si>
  <si>
    <t>Ball Valve Assembly, 599-10262 3-Way, Internal Thread, DN40, Kvs 14; GLB161.1P 10Nm, AC 24V, 0…10V, NSR</t>
  </si>
  <si>
    <t>Ball Valve Assembly, 599-10263 3-Way, Internal Thread, DN40, Kvs 22; GLB161.1P 10Nm, AC 24V, 0…10V, NSR</t>
  </si>
  <si>
    <t>Ball Valve Assembly, 599-10266 3-Way, Internal Thread, DN50, Kvs 34; GLB161.1P 10Nm, AC 24V, 0…10V, NSR</t>
  </si>
  <si>
    <t>C/VXI41.15-2.5</t>
  </si>
  <si>
    <t>VVF43.100-150K</t>
  </si>
  <si>
    <t>VVF43.125-220K</t>
  </si>
  <si>
    <t>VVF43.150-315K</t>
  </si>
  <si>
    <t>VVF53.100-150K</t>
  </si>
  <si>
    <t>VVF53.125-220K</t>
  </si>
  <si>
    <t>VVF53.150-315K</t>
  </si>
  <si>
    <t>VKF46.450</t>
  </si>
  <si>
    <t>VKF46.600</t>
  </si>
  <si>
    <t>2x GIB131.1E</t>
  </si>
  <si>
    <t>2x GIB161.1E</t>
  </si>
  <si>
    <t>Butterfly Valve, Flanged, PN16, DN450, Kvs 20500</t>
  </si>
  <si>
    <t>Butterfly Valve, Flanged, PN16, DN600, Kvs 29300</t>
  </si>
  <si>
    <t>Valve, 2-Way, Flanged, PN16, DN125, Kvs 220 (Pressure Compensated) (S55206-V121)</t>
  </si>
  <si>
    <t>Valve, 2-Way, Flanged, PN16, DN150, Kvs 315 (Pressure Compensated) (S55206-V122)</t>
  </si>
  <si>
    <t>Valve, 2-Way, Flanged, PN16, DN100, Kvs 150 (Pressure Compensated) (S55206-V120)</t>
  </si>
  <si>
    <t>Valve, 2-Way, Flanged, PN25, DN100, Kvs 150 (Pressure Compensated) (S55208-V137)</t>
  </si>
  <si>
    <t>Valve, 2-Way, Flanged, PN25, DN125, Kvs 220 (Pressure Compensated) (S55208-V138)</t>
  </si>
  <si>
    <t>Valve, 2-Way, Flanged, PN25, DN150, Kvs 315 (Pressure Compensated) (S55208-V139)</t>
  </si>
  <si>
    <t>Valve, 3-Way, Internal Thread, PN16, DN15, Kvs 2.5</t>
  </si>
  <si>
    <t>2x Damper Actuator, Rotary, 35Nm, AC 24V, 3-Pos, NSR</t>
  </si>
  <si>
    <t>2x Damper Actuator, Rotary, 35Nm, AC 24V, 0…10V, NSR</t>
  </si>
  <si>
    <t>24V,0-10V</t>
  </si>
  <si>
    <t>-</t>
  </si>
  <si>
    <t xml:space="preserve"> </t>
  </si>
  <si>
    <t>OOMEN018</t>
  </si>
  <si>
    <t>OOMEN019</t>
  </si>
  <si>
    <t>OOMEN020</t>
  </si>
  <si>
    <t>OOMEN021</t>
  </si>
  <si>
    <t>OOMEN023</t>
  </si>
  <si>
    <t xml:space="preserve">SCUH Tenancey </t>
  </si>
  <si>
    <t>Controlworks QLD</t>
  </si>
  <si>
    <t>CWQ 1464</t>
  </si>
  <si>
    <t>Shop Steel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</si>
</sst>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164" formatCode="#,##0_ ;\-#,##0\ "/>
    <numFmt numFmtId="165" formatCode="0.0"/>
    <numFmt numFmtId="166" formatCode="0.000"/>
    <numFmt numFmtId="167" formatCode="0.0;[Red]0.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MS Sans Serif"/>
      <family val="2"/>
    </font>
    <font>
      <b/>
      <vertAlign val="superscript"/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rgb="FF000000"/>
      <name val="Arial"/>
      <family val="2"/>
    </font>
    <font>
      <sz val="8"/>
      <color rgb="FF808080"/>
      <name val="Arial"/>
      <family val="2"/>
    </font>
    <font>
      <b/>
      <sz val="8"/>
      <color rgb="FF000000"/>
      <name val="Arial"/>
      <family val="2"/>
    </font>
    <font>
      <b/>
      <vertAlign val="superscript"/>
      <sz val="8"/>
      <name val="Arial"/>
      <family val="2"/>
    </font>
    <font>
      <sz val="7"/>
      <name val="Arial"/>
      <family val="2"/>
    </font>
    <font>
      <b/>
      <sz val="10"/>
      <color theme="1"/>
      <name val="Arial"/>
      <family val="2"/>
    </font>
    <font>
      <b/>
      <sz val="14"/>
      <name val="Arial"/>
      <family val="2"/>
    </font>
    <font>
      <b/>
      <sz val="18"/>
      <color theme="0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sz val="9"/>
      <name val="Arial"/>
      <family val="2"/>
    </font>
    <font>
      <b/>
      <u/>
      <sz val="9"/>
      <name val="Arial"/>
      <family val="2"/>
    </font>
    <font>
      <u/>
      <sz val="9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8"/>
      <color theme="1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879BAA"/>
        <bgColor indexed="64"/>
      </patternFill>
    </fill>
    <fill>
      <patternFill patternType="solid">
        <fgColor rgb="FFBECDD7"/>
        <bgColor indexed="64"/>
      </patternFill>
    </fill>
    <fill>
      <patternFill patternType="solid">
        <fgColor rgb="FFD7D7CD"/>
        <bgColor indexed="64"/>
      </patternFill>
    </fill>
    <fill>
      <patternFill patternType="solid">
        <fgColor rgb="FF879BAA"/>
        <bgColor indexed="9"/>
      </patternFill>
    </fill>
    <fill>
      <patternFill patternType="solid">
        <fgColor rgb="FFBECDD7"/>
        <bgColor indexed="9"/>
      </patternFill>
    </fill>
    <fill>
      <patternFill patternType="solid">
        <fgColor rgb="FFFFB900"/>
        <bgColor indexed="64"/>
      </patternFill>
    </fill>
    <fill>
      <patternFill patternType="solid">
        <fgColor rgb="FFAAB414"/>
        <bgColor indexed="64"/>
      </patternFill>
    </fill>
    <fill>
      <patternFill patternType="solid">
        <fgColor rgb="FFFFD85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BF0F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44" fontId="3" fillId="0" borderId="0" applyFont="0" applyFill="0" applyBorder="0" applyAlignment="0" applyProtection="0"/>
    <xf numFmtId="0" fontId="9" fillId="0" borderId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0" fillId="0" borderId="0"/>
  </cellStyleXfs>
  <cellXfs count="298">
    <xf numFmtId="0" fontId="0" fillId="0" borderId="0" xfId="0"/>
    <xf numFmtId="0" fontId="0" fillId="0" borderId="0" xfId="0" applyFill="1" applyBorder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5" fillId="0" borderId="0" xfId="0" applyFont="1" applyFill="1"/>
    <xf numFmtId="0" fontId="6" fillId="0" borderId="0" xfId="0" applyFont="1"/>
    <xf numFmtId="0" fontId="6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5" fillId="0" borderId="0" xfId="0" applyFont="1" applyBorder="1" applyAlignment="1">
      <alignment horizontal="center"/>
    </xf>
    <xf numFmtId="0" fontId="11" fillId="4" borderId="0" xfId="0" applyFon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166" fontId="0" fillId="3" borderId="0" xfId="0" applyNumberFormat="1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3" borderId="3" xfId="0" applyFill="1" applyBorder="1" applyProtection="1">
      <protection locked="0"/>
    </xf>
    <xf numFmtId="2" fontId="6" fillId="3" borderId="3" xfId="2" applyNumberFormat="1" applyFont="1" applyFill="1" applyBorder="1" applyAlignment="1" applyProtection="1">
      <alignment horizontal="center" vertical="center"/>
      <protection locked="0"/>
    </xf>
    <xf numFmtId="0" fontId="0" fillId="3" borderId="4" xfId="0" applyFill="1" applyBorder="1" applyProtection="1">
      <protection locked="0"/>
    </xf>
    <xf numFmtId="166" fontId="0" fillId="3" borderId="4" xfId="0" quotePrefix="1" applyNumberFormat="1" applyFill="1" applyBorder="1" applyAlignment="1" applyProtection="1">
      <alignment horizontal="center"/>
      <protection locked="0"/>
    </xf>
    <xf numFmtId="0" fontId="11" fillId="4" borderId="0" xfId="0" applyFont="1" applyFill="1" applyBorder="1" applyProtection="1">
      <protection locked="0"/>
    </xf>
    <xf numFmtId="166" fontId="11" fillId="4" borderId="0" xfId="0" quotePrefix="1" applyNumberFormat="1" applyFont="1" applyFill="1" applyBorder="1" applyAlignment="1" applyProtection="1">
      <alignment horizontal="center"/>
      <protection locked="0"/>
    </xf>
    <xf numFmtId="165" fontId="11" fillId="4" borderId="0" xfId="0" applyNumberFormat="1" applyFont="1" applyFill="1" applyBorder="1" applyAlignment="1" applyProtection="1">
      <alignment horizontal="center"/>
      <protection locked="0"/>
    </xf>
    <xf numFmtId="1" fontId="11" fillId="4" borderId="0" xfId="0" applyNumberFormat="1" applyFont="1" applyFill="1" applyBorder="1" applyAlignment="1" applyProtection="1">
      <alignment horizontal="center"/>
      <protection locked="0"/>
    </xf>
    <xf numFmtId="0" fontId="11" fillId="4" borderId="0" xfId="1" applyNumberFormat="1" applyFont="1" applyFill="1" applyBorder="1" applyAlignment="1" applyProtection="1">
      <alignment horizontal="center"/>
      <protection locked="0"/>
    </xf>
    <xf numFmtId="0" fontId="11" fillId="4" borderId="0" xfId="0" applyFont="1" applyFill="1" applyAlignment="1" applyProtection="1">
      <alignment horizontal="center"/>
      <protection locked="0"/>
    </xf>
    <xf numFmtId="166" fontId="0" fillId="3" borderId="0" xfId="0" applyNumberFormat="1" applyFill="1" applyAlignment="1" applyProtection="1">
      <alignment horizontal="left"/>
      <protection locked="0"/>
    </xf>
    <xf numFmtId="0" fontId="0" fillId="3" borderId="0" xfId="1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applyNumberFormat="1" applyFill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6" fillId="0" borderId="3" xfId="0" applyNumberFormat="1" applyFont="1" applyFill="1" applyBorder="1" applyAlignment="1" applyProtection="1">
      <alignment horizontal="center" vertical="top" wrapText="1"/>
      <protection locked="0"/>
    </xf>
    <xf numFmtId="0" fontId="0" fillId="0" borderId="3" xfId="0" applyNumberFormat="1" applyFill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2" fontId="11" fillId="4" borderId="0" xfId="0" applyNumberFormat="1" applyFont="1" applyFill="1" applyBorder="1" applyAlignment="1" applyProtection="1">
      <alignment vertical="center"/>
      <protection locked="0"/>
    </xf>
    <xf numFmtId="0" fontId="11" fillId="4" borderId="0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Protection="1"/>
    <xf numFmtId="0" fontId="11" fillId="0" borderId="0" xfId="0" applyFont="1" applyFill="1" applyProtection="1"/>
    <xf numFmtId="0" fontId="11" fillId="0" borderId="0" xfId="0" applyFont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0" fillId="0" borderId="0" xfId="0" applyProtection="1"/>
    <xf numFmtId="2" fontId="0" fillId="3" borderId="0" xfId="0" applyNumberFormat="1" applyFill="1" applyAlignment="1" applyProtection="1">
      <alignment horizontal="center"/>
      <protection locked="0"/>
    </xf>
    <xf numFmtId="2" fontId="11" fillId="4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Alignment="1" applyProtection="1">
      <alignment horizontal="left"/>
      <protection locked="0"/>
    </xf>
    <xf numFmtId="0" fontId="13" fillId="0" borderId="5" xfId="0" applyFont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14" fillId="6" borderId="5" xfId="0" applyFont="1" applyFill="1" applyBorder="1" applyAlignment="1">
      <alignment horizontal="center"/>
    </xf>
    <xf numFmtId="0" fontId="14" fillId="6" borderId="5" xfId="0" applyFont="1" applyFill="1" applyBorder="1" applyAlignment="1">
      <alignment horizontal="center" wrapText="1"/>
    </xf>
    <xf numFmtId="0" fontId="14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4" fillId="0" borderId="5" xfId="0" applyFont="1" applyBorder="1" applyAlignment="1">
      <alignment horizontal="center" wrapText="1"/>
    </xf>
    <xf numFmtId="0" fontId="8" fillId="7" borderId="5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8" fillId="8" borderId="5" xfId="0" applyFont="1" applyFill="1" applyBorder="1" applyAlignment="1">
      <alignment horizontal="center"/>
    </xf>
    <xf numFmtId="0" fontId="14" fillId="8" borderId="5" xfId="0" applyFont="1" applyFill="1" applyBorder="1" applyAlignment="1">
      <alignment horizontal="center"/>
    </xf>
    <xf numFmtId="0" fontId="14" fillId="0" borderId="5" xfId="0" applyFont="1" applyBorder="1" applyAlignment="1">
      <alignment horizontal="center" vertical="top"/>
    </xf>
    <xf numFmtId="0" fontId="13" fillId="0" borderId="5" xfId="0" applyFont="1" applyBorder="1"/>
    <xf numFmtId="165" fontId="0" fillId="0" borderId="0" xfId="0" applyNumberFormat="1"/>
    <xf numFmtId="0" fontId="14" fillId="9" borderId="5" xfId="0" applyFont="1" applyFill="1" applyBorder="1" applyAlignment="1">
      <alignment horizontal="center"/>
    </xf>
    <xf numFmtId="0" fontId="16" fillId="9" borderId="5" xfId="0" applyFont="1" applyFill="1" applyBorder="1" applyAlignment="1">
      <alignment horizontal="center"/>
    </xf>
    <xf numFmtId="0" fontId="14" fillId="9" borderId="5" xfId="0" applyFont="1" applyFill="1" applyBorder="1" applyAlignment="1">
      <alignment horizontal="center" vertical="top"/>
    </xf>
    <xf numFmtId="0" fontId="13" fillId="9" borderId="5" xfId="0" applyFont="1" applyFill="1" applyBorder="1" applyAlignment="1">
      <alignment horizontal="center"/>
    </xf>
    <xf numFmtId="0" fontId="14" fillId="0" borderId="5" xfId="0" applyFont="1" applyFill="1" applyBorder="1" applyAlignment="1">
      <alignment horizontal="center"/>
    </xf>
    <xf numFmtId="0" fontId="6" fillId="3" borderId="3" xfId="0" applyFont="1" applyFill="1" applyBorder="1" applyProtection="1">
      <protection locked="0"/>
    </xf>
    <xf numFmtId="0" fontId="13" fillId="0" borderId="6" xfId="0" applyFont="1" applyBorder="1"/>
    <xf numFmtId="0" fontId="6" fillId="0" borderId="0" xfId="0" applyFont="1" applyAlignment="1">
      <alignment horizontal="right"/>
    </xf>
    <xf numFmtId="0" fontId="0" fillId="0" borderId="0" xfId="0" applyFill="1" applyBorder="1"/>
    <xf numFmtId="0" fontId="5" fillId="0" borderId="0" xfId="0" applyFont="1" applyAlignment="1">
      <alignment horizontal="left" vertical="top" wrapText="1" indent="1"/>
    </xf>
    <xf numFmtId="0" fontId="3" fillId="0" borderId="0" xfId="0" applyFont="1"/>
    <xf numFmtId="0" fontId="3" fillId="0" borderId="0" xfId="0" applyFont="1" applyAlignment="1">
      <alignment horizontal="right"/>
    </xf>
    <xf numFmtId="0" fontId="0" fillId="3" borderId="0" xfId="1" applyNumberFormat="1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Protection="1">
      <protection locked="0"/>
    </xf>
    <xf numFmtId="0" fontId="18" fillId="5" borderId="5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 vertical="top"/>
    </xf>
    <xf numFmtId="0" fontId="16" fillId="10" borderId="5" xfId="0" applyFont="1" applyFill="1" applyBorder="1" applyAlignment="1">
      <alignment horizontal="center" vertical="top"/>
    </xf>
    <xf numFmtId="0" fontId="8" fillId="10" borderId="5" xfId="0" applyFont="1" applyFill="1" applyBorder="1" applyAlignment="1">
      <alignment horizontal="center"/>
    </xf>
    <xf numFmtId="0" fontId="13" fillId="10" borderId="5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 vertical="top"/>
    </xf>
    <xf numFmtId="0" fontId="8" fillId="0" borderId="5" xfId="0" applyFont="1" applyBorder="1" applyAlignment="1">
      <alignment horizontal="center" vertical="top"/>
    </xf>
    <xf numFmtId="0" fontId="13" fillId="10" borderId="5" xfId="0" applyFont="1" applyFill="1" applyBorder="1" applyAlignment="1">
      <alignment horizontal="center" vertical="top"/>
    </xf>
    <xf numFmtId="2" fontId="3" fillId="3" borderId="3" xfId="2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/>
    <xf numFmtId="0" fontId="0" fillId="0" borderId="0" xfId="0" applyFill="1"/>
    <xf numFmtId="0" fontId="6" fillId="0" borderId="0" xfId="0" applyFont="1" applyFill="1" applyBorder="1" applyProtection="1">
      <protection locked="0"/>
    </xf>
    <xf numFmtId="0" fontId="19" fillId="11" borderId="0" xfId="0" applyFont="1" applyFill="1"/>
    <xf numFmtId="0" fontId="0" fillId="11" borderId="0" xfId="0" applyFill="1"/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/>
    <xf numFmtId="166" fontId="6" fillId="3" borderId="3" xfId="2" applyNumberFormat="1" applyFont="1" applyFill="1" applyBorder="1" applyAlignment="1" applyProtection="1">
      <alignment horizontal="center" vertical="center"/>
      <protection locked="0"/>
    </xf>
    <xf numFmtId="0" fontId="0" fillId="12" borderId="0" xfId="0" applyFill="1"/>
    <xf numFmtId="0" fontId="3" fillId="3" borderId="0" xfId="0" applyFont="1" applyFill="1" applyAlignment="1" applyProtection="1">
      <alignment horizontal="left"/>
      <protection locked="0"/>
    </xf>
    <xf numFmtId="166" fontId="0" fillId="14" borderId="5" xfId="0" applyNumberFormat="1" applyFill="1" applyBorder="1" applyAlignment="1" applyProtection="1">
      <alignment horizontal="left"/>
      <protection locked="0"/>
    </xf>
    <xf numFmtId="166" fontId="0" fillId="13" borderId="5" xfId="0" applyNumberFormat="1" applyFill="1" applyBorder="1" applyAlignment="1" applyProtection="1">
      <alignment horizontal="left"/>
      <protection locked="0"/>
    </xf>
    <xf numFmtId="0" fontId="0" fillId="0" borderId="4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Fill="1" applyBorder="1" applyAlignment="1" applyProtection="1">
      <alignment horizontal="center"/>
    </xf>
    <xf numFmtId="0" fontId="3" fillId="0" borderId="3" xfId="0" applyNumberFormat="1" applyFont="1" applyFill="1" applyBorder="1" applyAlignment="1" applyProtection="1">
      <alignment horizontal="center" vertical="center"/>
      <protection locked="0"/>
    </xf>
    <xf numFmtId="165" fontId="0" fillId="17" borderId="3" xfId="0" applyNumberFormat="1" applyFill="1" applyBorder="1" applyAlignment="1" applyProtection="1">
      <alignment horizontal="center"/>
    </xf>
    <xf numFmtId="165" fontId="0" fillId="17" borderId="4" xfId="0" applyNumberFormat="1" applyFill="1" applyBorder="1" applyAlignment="1" applyProtection="1">
      <alignment horizontal="center"/>
    </xf>
    <xf numFmtId="1" fontId="0" fillId="17" borderId="3" xfId="0" applyNumberFormat="1" applyFill="1" applyBorder="1" applyAlignment="1" applyProtection="1">
      <alignment horizontal="center"/>
    </xf>
    <xf numFmtId="1" fontId="0" fillId="17" borderId="4" xfId="0" applyNumberFormat="1" applyFill="1" applyBorder="1" applyAlignment="1" applyProtection="1">
      <alignment horizontal="center"/>
    </xf>
    <xf numFmtId="2" fontId="0" fillId="17" borderId="3" xfId="0" applyNumberFormat="1" applyFill="1" applyBorder="1" applyAlignment="1" applyProtection="1">
      <alignment horizontal="center"/>
    </xf>
    <xf numFmtId="2" fontId="0" fillId="17" borderId="4" xfId="0" applyNumberFormat="1" applyFill="1" applyBorder="1" applyAlignment="1" applyProtection="1">
      <alignment horizontal="center"/>
    </xf>
    <xf numFmtId="2" fontId="5" fillId="18" borderId="5" xfId="0" applyNumberFormat="1" applyFont="1" applyFill="1" applyBorder="1" applyAlignment="1" applyProtection="1">
      <alignment horizontal="center" wrapText="1"/>
    </xf>
    <xf numFmtId="0" fontId="0" fillId="16" borderId="0" xfId="0" applyFill="1" applyAlignment="1" applyProtection="1">
      <alignment horizontal="center" vertical="center"/>
    </xf>
    <xf numFmtId="166" fontId="0" fillId="16" borderId="0" xfId="0" applyNumberFormat="1" applyFill="1" applyAlignment="1" applyProtection="1">
      <alignment horizontal="center" vertical="center"/>
    </xf>
    <xf numFmtId="0" fontId="4" fillId="16" borderId="0" xfId="0" applyFont="1" applyFill="1" applyAlignment="1" applyProtection="1">
      <alignment horizontal="left" vertical="center"/>
    </xf>
    <xf numFmtId="2" fontId="0" fillId="16" borderId="0" xfId="0" applyNumberFormat="1" applyFill="1" applyAlignment="1" applyProtection="1">
      <alignment horizontal="center" vertical="center"/>
    </xf>
    <xf numFmtId="0" fontId="5" fillId="16" borderId="0" xfId="0" applyFont="1" applyFill="1" applyBorder="1" applyAlignment="1" applyProtection="1">
      <alignment horizontal="center" vertical="center"/>
    </xf>
    <xf numFmtId="0" fontId="0" fillId="16" borderId="0" xfId="0" applyFill="1" applyBorder="1" applyAlignment="1" applyProtection="1">
      <alignment horizontal="center" vertical="center"/>
    </xf>
    <xf numFmtId="0" fontId="5" fillId="16" borderId="0" xfId="0" applyFont="1" applyFill="1" applyBorder="1" applyAlignment="1" applyProtection="1">
      <alignment horizontal="left" vertical="center"/>
    </xf>
    <xf numFmtId="0" fontId="0" fillId="16" borderId="0" xfId="0" applyFill="1" applyAlignment="1" applyProtection="1">
      <alignment horizontal="left" vertical="center"/>
    </xf>
    <xf numFmtId="2" fontId="5" fillId="16" borderId="0" xfId="0" applyNumberFormat="1" applyFont="1" applyFill="1" applyBorder="1" applyAlignment="1" applyProtection="1">
      <alignment horizontal="left" vertical="center"/>
    </xf>
    <xf numFmtId="0" fontId="0" fillId="16" borderId="0" xfId="0" applyFill="1" applyAlignment="1" applyProtection="1">
      <alignment horizontal="right"/>
    </xf>
    <xf numFmtId="166" fontId="11" fillId="16" borderId="0" xfId="0" applyNumberFormat="1" applyFont="1" applyFill="1" applyAlignment="1" applyProtection="1">
      <alignment horizontal="left"/>
    </xf>
    <xf numFmtId="2" fontId="5" fillId="16" borderId="0" xfId="0" applyNumberFormat="1" applyFont="1" applyFill="1" applyBorder="1" applyAlignment="1" applyProtection="1">
      <alignment horizontal="center" vertical="center"/>
    </xf>
    <xf numFmtId="0" fontId="12" fillId="16" borderId="0" xfId="0" applyFont="1" applyFill="1" applyAlignment="1" applyProtection="1">
      <alignment horizontal="right"/>
    </xf>
    <xf numFmtId="166" fontId="12" fillId="16" borderId="0" xfId="0" applyNumberFormat="1" applyFont="1" applyFill="1" applyAlignment="1" applyProtection="1">
      <alignment horizontal="left"/>
    </xf>
    <xf numFmtId="0" fontId="0" fillId="16" borderId="0" xfId="0" applyFill="1" applyAlignment="1" applyProtection="1">
      <alignment horizontal="center"/>
    </xf>
    <xf numFmtId="0" fontId="0" fillId="16" borderId="0" xfId="0" applyNumberFormat="1" applyFill="1" applyAlignment="1" applyProtection="1">
      <alignment horizontal="center"/>
    </xf>
    <xf numFmtId="2" fontId="0" fillId="16" borderId="0" xfId="0" applyNumberFormat="1" applyFill="1" applyAlignment="1" applyProtection="1">
      <alignment horizontal="center"/>
    </xf>
    <xf numFmtId="0" fontId="5" fillId="16" borderId="0" xfId="0" applyFont="1" applyFill="1" applyAlignment="1" applyProtection="1">
      <alignment horizontal="center"/>
    </xf>
    <xf numFmtId="0" fontId="24" fillId="16" borderId="0" xfId="0" applyFont="1" applyFill="1" applyAlignment="1" applyProtection="1">
      <alignment horizontal="right"/>
    </xf>
    <xf numFmtId="166" fontId="22" fillId="16" borderId="0" xfId="0" applyNumberFormat="1" applyFont="1" applyFill="1" applyAlignment="1" applyProtection="1">
      <alignment horizontal="left"/>
    </xf>
    <xf numFmtId="0" fontId="23" fillId="16" borderId="0" xfId="0" applyFont="1" applyFill="1" applyAlignment="1" applyProtection="1">
      <alignment horizontal="right"/>
    </xf>
    <xf numFmtId="166" fontId="23" fillId="16" borderId="0" xfId="0" applyNumberFormat="1" applyFont="1" applyFill="1" applyAlignment="1" applyProtection="1">
      <alignment horizontal="left"/>
    </xf>
    <xf numFmtId="0" fontId="21" fillId="16" borderId="0" xfId="0" applyFont="1" applyFill="1" applyAlignment="1" applyProtection="1">
      <alignment horizontal="left" vertical="center"/>
    </xf>
    <xf numFmtId="0" fontId="0" fillId="16" borderId="0" xfId="0" applyFill="1" applyBorder="1" applyAlignment="1" applyProtection="1">
      <alignment horizontal="center" vertical="center"/>
      <protection locked="0"/>
    </xf>
    <xf numFmtId="0" fontId="6" fillId="16" borderId="0" xfId="0" applyFont="1" applyFill="1" applyBorder="1" applyAlignment="1" applyProtection="1">
      <alignment vertical="center"/>
      <protection locked="0"/>
    </xf>
    <xf numFmtId="49" fontId="6" fillId="16" borderId="0" xfId="0" applyNumberFormat="1" applyFont="1" applyFill="1" applyBorder="1" applyAlignment="1" applyProtection="1">
      <alignment vertical="center"/>
      <protection locked="0"/>
    </xf>
    <xf numFmtId="0" fontId="0" fillId="16" borderId="0" xfId="0" applyFill="1" applyBorder="1" applyAlignment="1" applyProtection="1">
      <alignment vertical="center"/>
      <protection locked="0"/>
    </xf>
    <xf numFmtId="0" fontId="6" fillId="16" borderId="0" xfId="0" applyFont="1" applyFill="1" applyBorder="1" applyAlignment="1" applyProtection="1">
      <alignment horizontal="center" vertical="center"/>
      <protection locked="0"/>
    </xf>
    <xf numFmtId="2" fontId="5" fillId="16" borderId="0" xfId="0" applyNumberFormat="1" applyFont="1" applyFill="1" applyAlignment="1" applyProtection="1">
      <alignment horizontal="center"/>
    </xf>
    <xf numFmtId="0" fontId="5" fillId="18" borderId="9" xfId="0" applyFont="1" applyFill="1" applyBorder="1" applyAlignment="1" applyProtection="1">
      <alignment horizontal="center" wrapText="1"/>
    </xf>
    <xf numFmtId="0" fontId="0" fillId="3" borderId="12" xfId="0" applyFill="1" applyBorder="1" applyAlignment="1" applyProtection="1">
      <alignment horizontal="center"/>
      <protection locked="0"/>
    </xf>
    <xf numFmtId="0" fontId="5" fillId="18" borderId="8" xfId="0" applyFont="1" applyFill="1" applyBorder="1" applyAlignment="1" applyProtection="1">
      <alignment horizontal="center" wrapText="1"/>
    </xf>
    <xf numFmtId="166" fontId="5" fillId="18" borderId="10" xfId="0" applyNumberFormat="1" applyFont="1" applyFill="1" applyBorder="1" applyAlignment="1" applyProtection="1">
      <alignment horizontal="center" wrapText="1"/>
    </xf>
    <xf numFmtId="0" fontId="5" fillId="18" borderId="10" xfId="0" applyFont="1" applyFill="1" applyBorder="1" applyAlignment="1" applyProtection="1">
      <alignment horizontal="center" wrapText="1"/>
    </xf>
    <xf numFmtId="0" fontId="5" fillId="18" borderId="9" xfId="0" applyNumberFormat="1" applyFont="1" applyFill="1" applyBorder="1" applyAlignment="1" applyProtection="1">
      <alignment horizontal="center" wrapText="1"/>
    </xf>
    <xf numFmtId="166" fontId="0" fillId="17" borderId="5" xfId="0" applyNumberFormat="1" applyFill="1" applyBorder="1" applyAlignment="1" applyProtection="1">
      <alignment horizontal="left"/>
      <protection locked="0"/>
    </xf>
    <xf numFmtId="0" fontId="5" fillId="16" borderId="0" xfId="0" applyFont="1" applyFill="1" applyBorder="1" applyAlignment="1" applyProtection="1">
      <alignment horizontal="right"/>
    </xf>
    <xf numFmtId="0" fontId="5" fillId="16" borderId="0" xfId="0" applyFont="1" applyFill="1" applyAlignment="1" applyProtection="1">
      <alignment horizontal="right"/>
    </xf>
    <xf numFmtId="2" fontId="5" fillId="15" borderId="5" xfId="0" applyNumberFormat="1" applyFont="1" applyFill="1" applyBorder="1" applyAlignment="1" applyProtection="1">
      <alignment horizontal="center" vertical="center"/>
    </xf>
    <xf numFmtId="0" fontId="5" fillId="15" borderId="5" xfId="0" applyFont="1" applyFill="1" applyBorder="1" applyAlignment="1" applyProtection="1">
      <alignment horizontal="center" vertical="center"/>
    </xf>
    <xf numFmtId="2" fontId="0" fillId="17" borderId="3" xfId="0" applyNumberFormat="1" applyFill="1" applyBorder="1" applyAlignment="1" applyProtection="1">
      <alignment horizontal="center" vertical="center"/>
    </xf>
    <xf numFmtId="2" fontId="0" fillId="17" borderId="4" xfId="0" applyNumberFormat="1" applyFill="1" applyBorder="1" applyAlignment="1" applyProtection="1">
      <alignment horizontal="center" vertical="center"/>
    </xf>
    <xf numFmtId="2" fontId="11" fillId="4" borderId="0" xfId="0" applyNumberFormat="1" applyFont="1" applyFill="1" applyBorder="1" applyAlignment="1" applyProtection="1">
      <alignment horizontal="center" vertical="center"/>
      <protection locked="0"/>
    </xf>
    <xf numFmtId="0" fontId="4" fillId="16" borderId="0" xfId="0" applyFont="1" applyFill="1" applyAlignment="1" applyProtection="1">
      <alignment horizontal="left" vertical="center"/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left" vertical="center"/>
      <protection locked="0"/>
    </xf>
    <xf numFmtId="0" fontId="0" fillId="16" borderId="0" xfId="0" applyFill="1" applyAlignment="1" applyProtection="1">
      <alignment horizontal="center"/>
      <protection locked="0"/>
    </xf>
    <xf numFmtId="166" fontId="0" fillId="16" borderId="0" xfId="0" applyNumberFormat="1" applyFill="1" applyAlignment="1" applyProtection="1">
      <alignment horizontal="center"/>
      <protection locked="0"/>
    </xf>
    <xf numFmtId="0" fontId="0" fillId="16" borderId="0" xfId="0" applyFill="1" applyProtection="1"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6" fillId="16" borderId="11" xfId="0" applyFont="1" applyFill="1" applyBorder="1" applyAlignment="1" applyProtection="1">
      <protection locked="0"/>
    </xf>
    <xf numFmtId="49" fontId="6" fillId="16" borderId="11" xfId="0" applyNumberFormat="1" applyFont="1" applyFill="1" applyBorder="1" applyAlignment="1" applyProtection="1">
      <protection locked="0"/>
    </xf>
    <xf numFmtId="14" fontId="0" fillId="16" borderId="11" xfId="0" applyNumberFormat="1" applyFill="1" applyBorder="1" applyAlignment="1" applyProtection="1">
      <alignment horizontal="center"/>
      <protection locked="0"/>
    </xf>
    <xf numFmtId="0" fontId="0" fillId="16" borderId="11" xfId="0" applyFill="1" applyBorder="1" applyAlignment="1" applyProtection="1">
      <alignment horizontal="center"/>
      <protection locked="0"/>
    </xf>
    <xf numFmtId="0" fontId="0" fillId="16" borderId="0" xfId="0" applyFill="1" applyBorder="1" applyProtection="1">
      <protection locked="0"/>
    </xf>
    <xf numFmtId="0" fontId="0" fillId="16" borderId="0" xfId="0" applyNumberFormat="1" applyFill="1" applyAlignment="1" applyProtection="1">
      <alignment horizontal="center"/>
      <protection locked="0"/>
    </xf>
    <xf numFmtId="0" fontId="5" fillId="16" borderId="0" xfId="0" applyFont="1" applyFill="1" applyBorder="1" applyAlignment="1" applyProtection="1">
      <alignment horizontal="center" wrapText="1"/>
    </xf>
    <xf numFmtId="0" fontId="5" fillId="19" borderId="0" xfId="0" applyNumberFormat="1" applyFont="1" applyFill="1" applyBorder="1" applyAlignment="1" applyProtection="1">
      <alignment horizontal="center" wrapText="1"/>
    </xf>
    <xf numFmtId="166" fontId="0" fillId="16" borderId="0" xfId="0" applyNumberFormat="1" applyFill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center"/>
      <protection locked="0"/>
    </xf>
    <xf numFmtId="0" fontId="5" fillId="16" borderId="0" xfId="0" applyFont="1" applyFill="1" applyBorder="1" applyAlignment="1" applyProtection="1">
      <alignment horizontal="right"/>
      <protection locked="0"/>
    </xf>
    <xf numFmtId="14" fontId="0" fillId="16" borderId="11" xfId="0" applyNumberFormat="1" applyFill="1" applyBorder="1" applyAlignment="1" applyProtection="1">
      <protection locked="0"/>
    </xf>
    <xf numFmtId="0" fontId="0" fillId="16" borderId="0" xfId="0" applyFill="1" applyBorder="1" applyAlignment="1" applyProtection="1">
      <protection locked="0"/>
    </xf>
    <xf numFmtId="0" fontId="6" fillId="16" borderId="0" xfId="0" applyFont="1" applyFill="1" applyBorder="1" applyAlignment="1" applyProtection="1">
      <protection locked="0"/>
    </xf>
    <xf numFmtId="49" fontId="6" fillId="16" borderId="0" xfId="0" applyNumberFormat="1" applyFont="1" applyFill="1" applyBorder="1" applyAlignment="1" applyProtection="1">
      <protection locked="0"/>
    </xf>
    <xf numFmtId="167" fontId="0" fillId="20" borderId="12" xfId="0" applyNumberFormat="1" applyFill="1" applyBorder="1" applyAlignment="1" applyProtection="1">
      <alignment horizontal="center"/>
      <protection locked="0"/>
    </xf>
    <xf numFmtId="167" fontId="0" fillId="20" borderId="3" xfId="0" applyNumberFormat="1" applyFill="1" applyBorder="1" applyAlignment="1" applyProtection="1">
      <alignment horizontal="center"/>
      <protection locked="0"/>
    </xf>
    <xf numFmtId="167" fontId="3" fillId="20" borderId="3" xfId="0" applyNumberFormat="1" applyFont="1" applyFill="1" applyBorder="1" applyAlignment="1" applyProtection="1">
      <alignment horizontal="center"/>
      <protection locked="0"/>
    </xf>
    <xf numFmtId="167" fontId="0" fillId="20" borderId="4" xfId="0" applyNumberFormat="1" applyFill="1" applyBorder="1" applyAlignment="1" applyProtection="1">
      <alignment horizontal="center"/>
      <protection locked="0"/>
    </xf>
    <xf numFmtId="166" fontId="0" fillId="20" borderId="5" xfId="0" applyNumberFormat="1" applyFill="1" applyBorder="1" applyAlignment="1" applyProtection="1">
      <alignment horizontal="left"/>
      <protection locked="0"/>
    </xf>
    <xf numFmtId="0" fontId="5" fillId="16" borderId="0" xfId="0" applyFont="1" applyFill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0" fontId="4" fillId="16" borderId="0" xfId="0" applyFont="1" applyFill="1" applyAlignment="1">
      <alignment horizontal="left" vertical="center"/>
    </xf>
    <xf numFmtId="0" fontId="5" fillId="16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166" fontId="0" fillId="16" borderId="0" xfId="0" applyNumberFormat="1" applyFill="1" applyAlignment="1">
      <alignment horizontal="center"/>
    </xf>
    <xf numFmtId="0" fontId="0" fillId="16" borderId="0" xfId="0" applyNumberFormat="1" applyFill="1" applyAlignment="1">
      <alignment horizontal="center"/>
    </xf>
    <xf numFmtId="0" fontId="5" fillId="16" borderId="0" xfId="0" applyFont="1" applyFill="1" applyAlignment="1">
      <alignment horizontal="right"/>
    </xf>
    <xf numFmtId="0" fontId="5" fillId="16" borderId="0" xfId="0" applyFont="1" applyFill="1" applyBorder="1" applyAlignment="1">
      <alignment horizontal="right"/>
    </xf>
    <xf numFmtId="0" fontId="25" fillId="3" borderId="0" xfId="0" applyFont="1" applyFill="1" applyAlignment="1">
      <alignment horizontal="left"/>
    </xf>
    <xf numFmtId="0" fontId="5" fillId="15" borderId="1" xfId="0" applyFont="1" applyFill="1" applyBorder="1" applyAlignment="1">
      <alignment horizontal="center"/>
    </xf>
    <xf numFmtId="0" fontId="5" fillId="15" borderId="2" xfId="0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4" fontId="0" fillId="16" borderId="11" xfId="0" applyNumberFormat="1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3" borderId="0" xfId="0" applyFill="1" applyAlignment="1" applyProtection="1">
      <alignment horizontal="left" vertical="top"/>
      <protection locked="0"/>
    </xf>
    <xf numFmtId="0" fontId="6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12" xfId="0" applyNumberFormat="1" applyFill="1" applyBorder="1" applyAlignment="1" applyProtection="1">
      <alignment horizontal="center" vertical="center"/>
      <protection locked="0"/>
    </xf>
    <xf numFmtId="166" fontId="0" fillId="22" borderId="5" xfId="0" applyNumberFormat="1" applyFill="1" applyBorder="1" applyAlignment="1" applyProtection="1">
      <alignment horizontal="left"/>
      <protection locked="0"/>
    </xf>
    <xf numFmtId="0" fontId="5" fillId="21" borderId="20" xfId="0" applyFont="1" applyFill="1" applyBorder="1" applyAlignment="1" applyProtection="1">
      <alignment horizontal="center"/>
      <protection locked="0"/>
    </xf>
    <xf numFmtId="0" fontId="26" fillId="3" borderId="25" xfId="0" applyFont="1" applyFill="1" applyBorder="1" applyAlignment="1" applyProtection="1">
      <alignment horizontal="center" vertical="center" wrapText="1"/>
      <protection locked="0"/>
    </xf>
    <xf numFmtId="0" fontId="5" fillId="21" borderId="27" xfId="0" applyFont="1" applyFill="1" applyBorder="1" applyAlignment="1" applyProtection="1">
      <alignment horizontal="center"/>
      <protection locked="0"/>
    </xf>
    <xf numFmtId="0" fontId="26" fillId="3" borderId="28" xfId="0" applyFont="1" applyFill="1" applyBorder="1" applyAlignment="1" applyProtection="1">
      <alignment horizontal="center" vertical="center" wrapText="1"/>
      <protection locked="0"/>
    </xf>
    <xf numFmtId="0" fontId="5" fillId="11" borderId="0" xfId="0" applyFont="1" applyFill="1"/>
    <xf numFmtId="0" fontId="19" fillId="0" borderId="0" xfId="0" applyFont="1" applyFill="1"/>
    <xf numFmtId="0" fontId="29" fillId="0" borderId="0" xfId="0" applyFont="1"/>
    <xf numFmtId="0" fontId="19" fillId="23" borderId="0" xfId="0" applyFont="1" applyFill="1"/>
    <xf numFmtId="0" fontId="0" fillId="23" borderId="0" xfId="0" applyFill="1"/>
    <xf numFmtId="0" fontId="3" fillId="24" borderId="3" xfId="0" applyFont="1" applyFill="1" applyBorder="1" applyAlignment="1" applyProtection="1">
      <alignment horizontal="center"/>
      <protection locked="0"/>
    </xf>
    <xf numFmtId="0" fontId="0" fillId="24" borderId="3" xfId="0" applyFill="1" applyBorder="1" applyAlignment="1" applyProtection="1">
      <alignment horizontal="center"/>
      <protection locked="0"/>
    </xf>
    <xf numFmtId="0" fontId="3" fillId="24" borderId="4" xfId="0" applyFont="1" applyFill="1" applyBorder="1" applyAlignment="1" applyProtection="1">
      <alignment horizontal="center"/>
      <protection locked="0"/>
    </xf>
    <xf numFmtId="0" fontId="0" fillId="24" borderId="4" xfId="0" applyFill="1" applyBorder="1" applyAlignment="1" applyProtection="1">
      <alignment horizontal="center"/>
      <protection locked="0"/>
    </xf>
    <xf numFmtId="0" fontId="0" fillId="24" borderId="3" xfId="1" applyNumberFormat="1" applyFont="1" applyFill="1" applyBorder="1" applyAlignment="1" applyProtection="1">
      <alignment horizontal="center"/>
      <protection locked="0"/>
    </xf>
    <xf numFmtId="0" fontId="0" fillId="24" borderId="4" xfId="1" applyNumberFormat="1" applyFont="1" applyFill="1" applyBorder="1" applyAlignment="1" applyProtection="1">
      <alignment horizontal="center"/>
      <protection locked="0"/>
    </xf>
    <xf numFmtId="0" fontId="3" fillId="24" borderId="12" xfId="0" applyFont="1" applyFill="1" applyBorder="1" applyAlignment="1" applyProtection="1">
      <alignment horizontal="center" vertical="center"/>
      <protection locked="0"/>
    </xf>
    <xf numFmtId="0" fontId="6" fillId="24" borderId="12" xfId="0" applyNumberFormat="1" applyFont="1" applyFill="1" applyBorder="1" applyAlignment="1" applyProtection="1">
      <alignment horizontal="center" vertical="top" wrapText="1"/>
      <protection locked="0"/>
    </xf>
    <xf numFmtId="0" fontId="6" fillId="24" borderId="12" xfId="0" applyFont="1" applyFill="1" applyBorder="1" applyAlignment="1" applyProtection="1">
      <alignment horizontal="center" vertical="center"/>
      <protection locked="0"/>
    </xf>
    <xf numFmtId="0" fontId="3" fillId="24" borderId="3" xfId="0" applyFont="1" applyFill="1" applyBorder="1" applyAlignment="1" applyProtection="1">
      <alignment horizontal="center" vertical="center"/>
      <protection locked="0"/>
    </xf>
    <xf numFmtId="0" fontId="6" fillId="24" borderId="3" xfId="0" applyNumberFormat="1" applyFont="1" applyFill="1" applyBorder="1" applyAlignment="1" applyProtection="1">
      <alignment horizontal="center" vertical="top" wrapText="1"/>
      <protection locked="0"/>
    </xf>
    <xf numFmtId="0" fontId="6" fillId="24" borderId="3" xfId="0" applyFont="1" applyFill="1" applyBorder="1" applyAlignment="1" applyProtection="1">
      <alignment horizontal="center" vertical="center"/>
      <protection locked="0"/>
    </xf>
    <xf numFmtId="0" fontId="0" fillId="24" borderId="3" xfId="0" applyFill="1" applyBorder="1" applyAlignment="1" applyProtection="1">
      <alignment horizontal="center" vertical="center"/>
      <protection locked="0"/>
    </xf>
    <xf numFmtId="0" fontId="0" fillId="24" borderId="4" xfId="0" applyFill="1" applyBorder="1" applyAlignment="1" applyProtection="1">
      <alignment horizontal="center" vertical="center"/>
      <protection locked="0"/>
    </xf>
    <xf numFmtId="0" fontId="6" fillId="24" borderId="4" xfId="0" applyNumberFormat="1" applyFont="1" applyFill="1" applyBorder="1" applyAlignment="1" applyProtection="1">
      <alignment horizontal="center" vertical="top" wrapText="1"/>
      <protection locked="0"/>
    </xf>
    <xf numFmtId="0" fontId="6" fillId="24" borderId="4" xfId="0" applyFont="1" applyFill="1" applyBorder="1" applyAlignment="1" applyProtection="1">
      <alignment horizontal="center" vertical="center"/>
      <protection locked="0"/>
    </xf>
    <xf numFmtId="0" fontId="0" fillId="24" borderId="12" xfId="0" applyFill="1" applyBorder="1" applyAlignment="1" applyProtection="1">
      <alignment horizontal="center"/>
      <protection locked="0"/>
    </xf>
    <xf numFmtId="166" fontId="0" fillId="24" borderId="5" xfId="0" applyNumberFormat="1" applyFill="1" applyBorder="1" applyAlignment="1" applyProtection="1">
      <alignment horizontal="left"/>
      <protection locked="0"/>
    </xf>
    <xf numFmtId="1" fontId="0" fillId="0" borderId="0" xfId="0" applyNumberFormat="1"/>
    <xf numFmtId="0" fontId="3" fillId="16" borderId="11" xfId="0" applyFont="1" applyFill="1" applyBorder="1" applyAlignment="1" applyProtection="1">
      <alignment horizontal="center"/>
      <protection locked="0"/>
    </xf>
    <xf numFmtId="49" fontId="3" fillId="0" borderId="3" xfId="3" applyNumberFormat="1" applyFont="1" applyBorder="1" applyAlignment="1">
      <alignment vertical="center"/>
    </xf>
    <xf numFmtId="49" fontId="3" fillId="0" borderId="3" xfId="3" applyNumberFormat="1" applyFont="1" applyBorder="1" applyAlignment="1">
      <alignment horizontal="left" vertical="center" wrapText="1"/>
    </xf>
    <xf numFmtId="49" fontId="3" fillId="0" borderId="3" xfId="3" applyNumberFormat="1" applyBorder="1" applyAlignment="1">
      <alignment horizontal="left" vertical="center" wrapText="1"/>
    </xf>
    <xf numFmtId="0" fontId="3" fillId="0" borderId="3" xfId="3" applyNumberFormat="1" applyFont="1" applyBorder="1" applyAlignment="1">
      <alignment vertical="center"/>
    </xf>
    <xf numFmtId="0" fontId="3" fillId="3" borderId="3" xfId="3" applyFont="1" applyFill="1" applyBorder="1" applyAlignment="1">
      <alignment horizontal="left" vertical="center" wrapText="1" shrinkToFit="1"/>
    </xf>
    <xf numFmtId="0" fontId="3" fillId="0" borderId="3" xfId="3" applyFont="1" applyBorder="1" applyAlignment="1">
      <alignment vertical="center" wrapText="1"/>
    </xf>
    <xf numFmtId="0" fontId="1" fillId="0" borderId="0" xfId="6"/>
    <xf numFmtId="0" fontId="32" fillId="0" borderId="0" xfId="6" applyFont="1" applyAlignment="1">
      <alignment horizontal="right"/>
    </xf>
    <xf numFmtId="49" fontId="31" fillId="0" borderId="6" xfId="6" applyNumberFormat="1" applyFont="1" applyBorder="1" applyAlignment="1">
      <alignment horizontal="center" vertical="center" wrapText="1"/>
    </xf>
    <xf numFmtId="0" fontId="1" fillId="0" borderId="0" xfId="6" applyAlignment="1">
      <alignment vertical="center"/>
    </xf>
    <xf numFmtId="14" fontId="32" fillId="0" borderId="0" xfId="0" applyNumberFormat="1" applyFont="1" applyAlignment="1">
      <alignment horizontal="center"/>
    </xf>
    <xf numFmtId="0" fontId="5" fillId="16" borderId="1" xfId="0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24" borderId="1" xfId="0" applyFont="1" applyFill="1" applyBorder="1" applyAlignment="1">
      <alignment horizontal="center"/>
    </xf>
    <xf numFmtId="0" fontId="5" fillId="15" borderId="31" xfId="0" applyFont="1" applyFill="1" applyBorder="1" applyAlignment="1">
      <alignment horizontal="center"/>
    </xf>
    <xf numFmtId="0" fontId="5" fillId="16" borderId="31" xfId="0" applyFont="1" applyFill="1" applyBorder="1" applyAlignment="1">
      <alignment horizontal="center"/>
    </xf>
    <xf numFmtId="0" fontId="5" fillId="24" borderId="31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49" fontId="3" fillId="0" borderId="3" xfId="3" applyNumberFormat="1" applyFont="1" applyFill="1" applyBorder="1" applyAlignment="1">
      <alignment horizontal="left" vertical="center" wrapText="1"/>
    </xf>
    <xf numFmtId="49" fontId="0" fillId="0" borderId="3" xfId="0" applyNumberFormat="1" applyBorder="1" applyAlignment="1">
      <alignment horizontal="left" vertical="center" wrapText="1"/>
    </xf>
    <xf numFmtId="49" fontId="3" fillId="0" borderId="3" xfId="0" applyNumberFormat="1" applyFont="1" applyFill="1" applyBorder="1" applyAlignment="1">
      <alignment horizontal="left" vertical="center" wrapText="1"/>
    </xf>
    <xf numFmtId="0" fontId="21" fillId="16" borderId="0" xfId="0" applyFont="1" applyFill="1" applyAlignment="1" applyProtection="1">
      <alignment horizontal="center" vertical="center"/>
    </xf>
    <xf numFmtId="166" fontId="3" fillId="3" borderId="3" xfId="2" applyNumberFormat="1" applyFont="1" applyFill="1" applyBorder="1" applyAlignment="1" applyProtection="1">
      <alignment horizontal="center" vertical="center"/>
      <protection locked="0"/>
    </xf>
    <xf numFmtId="0" fontId="5" fillId="18" borderId="8" xfId="0" applyFont="1" applyFill="1" applyBorder="1" applyAlignment="1" applyProtection="1">
      <alignment horizontal="center"/>
    </xf>
    <xf numFmtId="0" fontId="5" fillId="18" borderId="9" xfId="0" applyFont="1" applyFill="1" applyBorder="1" applyAlignment="1" applyProtection="1">
      <alignment horizontal="center"/>
    </xf>
    <xf numFmtId="0" fontId="5" fillId="21" borderId="20" xfId="0" applyFont="1" applyFill="1" applyBorder="1" applyAlignment="1" applyProtection="1">
      <alignment horizontal="center"/>
      <protection locked="0"/>
    </xf>
    <xf numFmtId="0" fontId="5" fillId="21" borderId="21" xfId="0" applyFont="1" applyFill="1" applyBorder="1" applyAlignment="1" applyProtection="1">
      <alignment horizontal="center"/>
      <protection locked="0"/>
    </xf>
    <xf numFmtId="0" fontId="26" fillId="3" borderId="25" xfId="0" applyFont="1" applyFill="1" applyBorder="1" applyAlignment="1" applyProtection="1">
      <alignment horizontal="center" vertical="center" wrapText="1"/>
      <protection locked="0"/>
    </xf>
    <xf numFmtId="0" fontId="26" fillId="3" borderId="26" xfId="0" applyFont="1" applyFill="1" applyBorder="1" applyAlignment="1" applyProtection="1">
      <alignment horizontal="center" vertical="center" wrapText="1"/>
      <protection locked="0"/>
    </xf>
    <xf numFmtId="0" fontId="3" fillId="16" borderId="11" xfId="0" applyFont="1" applyFill="1" applyBorder="1" applyAlignment="1" applyProtection="1">
      <alignment horizontal="center"/>
      <protection locked="0"/>
    </xf>
    <xf numFmtId="0" fontId="6" fillId="16" borderId="11" xfId="0" applyFont="1" applyFill="1" applyBorder="1" applyAlignment="1" applyProtection="1">
      <alignment horizontal="center"/>
      <protection locked="0"/>
    </xf>
    <xf numFmtId="49" fontId="6" fillId="16" borderId="11" xfId="0" applyNumberFormat="1" applyFont="1" applyFill="1" applyBorder="1" applyAlignment="1" applyProtection="1">
      <alignment horizontal="center"/>
      <protection locked="0"/>
    </xf>
    <xf numFmtId="0" fontId="26" fillId="3" borderId="22" xfId="0" applyFont="1" applyFill="1" applyBorder="1" applyAlignment="1" applyProtection="1">
      <alignment horizontal="center" vertical="center" wrapText="1"/>
      <protection locked="0"/>
    </xf>
    <xf numFmtId="0" fontId="26" fillId="3" borderId="23" xfId="0" applyFont="1" applyFill="1" applyBorder="1" applyAlignment="1" applyProtection="1">
      <alignment horizontal="center" vertical="center" wrapText="1"/>
      <protection locked="0"/>
    </xf>
    <xf numFmtId="0" fontId="26" fillId="3" borderId="24" xfId="0" applyFont="1" applyFill="1" applyBorder="1" applyAlignment="1" applyProtection="1">
      <alignment horizontal="center" vertical="center" wrapText="1"/>
      <protection locked="0"/>
    </xf>
    <xf numFmtId="0" fontId="5" fillId="21" borderId="17" xfId="0" applyFont="1" applyFill="1" applyBorder="1" applyAlignment="1" applyProtection="1">
      <alignment horizontal="center"/>
      <protection locked="0"/>
    </xf>
    <xf numFmtId="0" fontId="5" fillId="21" borderId="18" xfId="0" applyFont="1" applyFill="1" applyBorder="1" applyAlignment="1" applyProtection="1">
      <alignment horizontal="center"/>
      <protection locked="0"/>
    </xf>
    <xf numFmtId="0" fontId="5" fillId="21" borderId="19" xfId="0" applyFont="1" applyFill="1" applyBorder="1" applyAlignment="1" applyProtection="1">
      <alignment horizontal="center"/>
      <protection locked="0"/>
    </xf>
    <xf numFmtId="0" fontId="5" fillId="18" borderId="10" xfId="0" applyFont="1" applyFill="1" applyBorder="1" applyAlignment="1" applyProtection="1">
      <alignment horizontal="center"/>
    </xf>
    <xf numFmtId="0" fontId="5" fillId="15" borderId="5" xfId="0" applyFont="1" applyFill="1" applyBorder="1" applyAlignment="1" applyProtection="1">
      <alignment horizontal="center" wrapText="1"/>
    </xf>
    <xf numFmtId="2" fontId="5" fillId="15" borderId="5" xfId="0" applyNumberFormat="1" applyFont="1" applyFill="1" applyBorder="1" applyAlignment="1" applyProtection="1">
      <alignment horizontal="center" vertical="center" wrapText="1"/>
    </xf>
    <xf numFmtId="0" fontId="5" fillId="15" borderId="6" xfId="0" applyFont="1" applyFill="1" applyBorder="1" applyAlignment="1" applyProtection="1">
      <alignment horizontal="center" vertical="center" wrapText="1"/>
    </xf>
    <xf numFmtId="0" fontId="5" fillId="15" borderId="7" xfId="0" applyFont="1" applyFill="1" applyBorder="1" applyAlignment="1" applyProtection="1">
      <alignment horizontal="center" vertical="center" wrapText="1"/>
    </xf>
    <xf numFmtId="0" fontId="5" fillId="15" borderId="14" xfId="0" applyFont="1" applyFill="1" applyBorder="1" applyAlignment="1" applyProtection="1">
      <alignment horizontal="center" wrapText="1"/>
    </xf>
    <xf numFmtId="0" fontId="5" fillId="15" borderId="11" xfId="0" applyFont="1" applyFill="1" applyBorder="1" applyAlignment="1" applyProtection="1">
      <alignment horizontal="center" wrapText="1"/>
    </xf>
    <xf numFmtId="0" fontId="5" fillId="15" borderId="15" xfId="0" applyFont="1" applyFill="1" applyBorder="1" applyAlignment="1" applyProtection="1">
      <alignment horizontal="center" wrapText="1"/>
    </xf>
    <xf numFmtId="0" fontId="5" fillId="15" borderId="16" xfId="0" applyFont="1" applyFill="1" applyBorder="1" applyAlignment="1" applyProtection="1">
      <alignment horizontal="center" wrapText="1"/>
    </xf>
    <xf numFmtId="0" fontId="5" fillId="19" borderId="0" xfId="0" applyFont="1" applyFill="1" applyBorder="1" applyAlignment="1" applyProtection="1">
      <alignment horizontal="center"/>
    </xf>
    <xf numFmtId="49" fontId="3" fillId="16" borderId="10" xfId="0" applyNumberFormat="1" applyFont="1" applyFill="1" applyBorder="1" applyAlignment="1" applyProtection="1">
      <alignment horizontal="center"/>
      <protection locked="0"/>
    </xf>
    <xf numFmtId="49" fontId="6" fillId="16" borderId="10" xfId="0" applyNumberFormat="1" applyFont="1" applyFill="1" applyBorder="1" applyAlignment="1" applyProtection="1">
      <alignment horizontal="center"/>
      <protection locked="0"/>
    </xf>
    <xf numFmtId="0" fontId="26" fillId="3" borderId="29" xfId="0" applyFont="1" applyFill="1" applyBorder="1" applyAlignment="1" applyProtection="1">
      <alignment horizontal="center" vertical="center" wrapText="1"/>
      <protection locked="0"/>
    </xf>
    <xf numFmtId="0" fontId="26" fillId="3" borderId="30" xfId="0" applyFont="1" applyFill="1" applyBorder="1" applyAlignment="1" applyProtection="1">
      <alignment horizontal="center" vertical="center" wrapText="1"/>
      <protection locked="0"/>
    </xf>
    <xf numFmtId="0" fontId="5" fillId="18" borderId="13" xfId="0" applyFont="1" applyFill="1" applyBorder="1" applyAlignment="1" applyProtection="1">
      <alignment horizontal="center"/>
    </xf>
    <xf numFmtId="0" fontId="5" fillId="18" borderId="14" xfId="0" applyFont="1" applyFill="1" applyBorder="1" applyAlignment="1" applyProtection="1">
      <alignment horizontal="center"/>
    </xf>
    <xf numFmtId="0" fontId="6" fillId="16" borderId="11" xfId="0" applyFont="1" applyFill="1" applyBorder="1" applyAlignment="1">
      <alignment horizontal="center"/>
    </xf>
    <xf numFmtId="49" fontId="6" fillId="16" borderId="11" xfId="0" applyNumberFormat="1" applyFont="1" applyFill="1" applyBorder="1" applyAlignment="1">
      <alignment horizontal="center"/>
    </xf>
    <xf numFmtId="0" fontId="6" fillId="16" borderId="10" xfId="0" applyFont="1" applyFill="1" applyBorder="1" applyAlignment="1">
      <alignment horizontal="center"/>
    </xf>
    <xf numFmtId="0" fontId="13" fillId="0" borderId="5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6" fillId="0" borderId="0" xfId="0" applyFont="1" applyBorder="1" applyAlignment="1">
      <alignment wrapText="1"/>
    </xf>
  </cellXfs>
  <cellStyles count="9">
    <cellStyle name="Currency" xfId="1" builtinId="4"/>
    <cellStyle name="Currency 2" xfId="5"/>
    <cellStyle name="Normal" xfId="0" builtinId="0"/>
    <cellStyle name="Normal 2" xfId="3"/>
    <cellStyle name="Normal 3" xfId="4"/>
    <cellStyle name="Normal 4" xfId="6"/>
    <cellStyle name="Normal_VLVESIZE" xfId="2"/>
    <cellStyle name="Percent 2" xfId="7"/>
    <cellStyle name="Standard_01 PL FS FIRE MasterPrice List Cerberus PRO BY09 2009-06-25 2" xfId="8"/>
  </cellStyles>
  <dxfs count="30">
    <dxf>
      <font>
        <color theme="0"/>
      </font>
    </dxf>
    <dxf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</dxf>
    <dxf>
      <font>
        <color theme="0"/>
      </font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FFD85D"/>
        </patternFill>
      </fill>
    </dxf>
    <dxf>
      <fill>
        <patternFill patternType="solid">
          <bgColor rgb="FFEBF0F5"/>
        </patternFill>
      </fill>
    </dxf>
    <dxf>
      <font>
        <color rgb="FFFF0000"/>
      </font>
      <fill>
        <patternFill>
          <bgColor rgb="FFFFD85D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indexed="1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FFD85D"/>
        </patternFill>
      </fill>
    </dxf>
    <dxf>
      <fill>
        <patternFill patternType="solid">
          <bgColor rgb="FFEBF0F5"/>
        </patternFill>
      </fill>
    </dxf>
    <dxf>
      <font>
        <color rgb="FFFF0000"/>
      </font>
      <fill>
        <patternFill>
          <bgColor rgb="FFFFD85D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FFD85D"/>
        </patternFill>
      </fill>
    </dxf>
    <dxf>
      <fill>
        <patternFill patternType="solid">
          <bgColor rgb="FFEBF0F5"/>
        </patternFill>
      </fill>
    </dxf>
    <dxf>
      <fill>
        <patternFill>
          <bgColor indexed="13"/>
        </patternFill>
      </fill>
    </dxf>
  </dxfs>
  <tableStyles count="0" defaultTableStyle="TableStyleMedium9" defaultPivotStyle="PivotStyleLight16"/>
  <colors>
    <mruColors>
      <color rgb="FFEBF0F5"/>
      <color rgb="FFBECDD7"/>
      <color rgb="FFCDD9E1"/>
      <color rgb="FFADBECB"/>
      <color rgb="FFFFD85D"/>
      <color rgb="FFFFB900"/>
      <color rgb="FFAAB414"/>
      <color rgb="FF879BAA"/>
      <color rgb="FFD7D7CD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142874</xdr:colOff>
      <xdr:row>0</xdr:row>
      <xdr:rowOff>-1</xdr:rowOff>
    </xdr:from>
    <xdr:to>
      <xdr:col>0</xdr:col>
      <xdr:colOff>1402874</xdr:colOff>
      <xdr:row>2</xdr:row>
      <xdr:rowOff>181700</xdr:rowOff>
    </xdr:to>
    <xdr:pic>
      <xdr:nvPicPr>
        <xdr:cNvPr id="3" name="Picture 2" descr="sie_logo_layer_petrol_rgb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2874" y="-1"/>
          <a:ext cx="1260000" cy="705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115956</xdr:colOff>
          <xdr:row>0</xdr:row>
          <xdr:rowOff>33130</xdr:rowOff>
        </xdr:from>
        <xdr:to>
          <xdr:col>8</xdr:col>
          <xdr:colOff>201267</xdr:colOff>
          <xdr:row>1</xdr:row>
          <xdr:rowOff>213691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146376</xdr:colOff>
      <xdr:row>0</xdr:row>
      <xdr:rowOff>-1</xdr:rowOff>
    </xdr:from>
    <xdr:to>
      <xdr:col>0</xdr:col>
      <xdr:colOff>1406376</xdr:colOff>
      <xdr:row>2</xdr:row>
      <xdr:rowOff>193068</xdr:rowOff>
    </xdr:to>
    <xdr:pic>
      <xdr:nvPicPr>
        <xdr:cNvPr id="3" name="Picture 2" descr="sie_logo_layer_petrol_rgb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6376" y="-1"/>
          <a:ext cx="1260000" cy="7222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1</xdr:rowOff>
    </xdr:from>
    <xdr:to>
      <xdr:col>0</xdr:col>
      <xdr:colOff>1402875</xdr:colOff>
      <xdr:row>2</xdr:row>
      <xdr:rowOff>178594</xdr:rowOff>
    </xdr:to>
    <xdr:pic>
      <xdr:nvPicPr>
        <xdr:cNvPr id="3" name="Picture 2" descr="sie_logo_layer_petrol_rgb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2875" y="1"/>
          <a:ext cx="1260000" cy="7024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0</xdr:rowOff>
    </xdr:from>
    <xdr:to>
      <xdr:col>3</xdr:col>
      <xdr:colOff>524614</xdr:colOff>
      <xdr:row>2</xdr:row>
      <xdr:rowOff>196542</xdr:rowOff>
    </xdr:to>
    <xdr:pic>
      <xdr:nvPicPr>
        <xdr:cNvPr id="3" name="Picture 2" descr="sie_logo_layer_petrol_rgb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5677" y="0"/>
          <a:ext cx="1260000" cy="7120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</xdr:row>
          <xdr:rowOff>76200</xdr:rowOff>
        </xdr:from>
        <xdr:to>
          <xdr:col>3</xdr:col>
          <xdr:colOff>419100</xdr:colOff>
          <xdr:row>4</xdr:row>
          <xdr:rowOff>104775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Alphabetically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0</xdr:row>
          <xdr:rowOff>19050</xdr:rowOff>
        </xdr:from>
        <xdr:to>
          <xdr:col>6</xdr:col>
          <xdr:colOff>542925</xdr:colOff>
          <xdr:row>2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0</xdr:row>
          <xdr:rowOff>28575</xdr:rowOff>
        </xdr:from>
        <xdr:to>
          <xdr:col>6</xdr:col>
          <xdr:colOff>1381125</xdr:colOff>
          <xdr:row>2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R61"/>
  <sheetViews>
    <sheetView showGridLines="0" tabSelected="1" zoomScale="115" zoomScaleNormal="115" workbookViewId="0">
      <pane ySplit="7" topLeftCell="A8" activePane="bottomLeft" state="frozen"/>
      <selection activeCell="K11" sqref="K11"/>
      <selection pane="bottomLeft" activeCell="A28" sqref="A28"/>
    </sheetView>
  </sheetViews>
  <sheetFormatPr defaultRowHeight="12.75" x14ac:dyDescent="0.2"/>
  <cols>
    <col min="1" max="1" width="23.7109375" style="18" customWidth="1"/>
    <col min="2" max="2" width="9.85546875" style="19" customWidth="1"/>
    <col min="3" max="3" width="5.7109375" style="18" customWidth="1"/>
    <col min="4" max="4" width="8.85546875" style="18" customWidth="1"/>
    <col min="5" max="5" width="6" style="18" customWidth="1"/>
    <col min="6" max="6" width="6.7109375" style="18" customWidth="1"/>
    <col min="7" max="7" width="6.28515625" style="18" customWidth="1"/>
    <col min="8" max="8" width="20.140625" style="18" customWidth="1"/>
    <col min="9" max="11" width="7.28515625" style="18" customWidth="1"/>
    <col min="12" max="12" width="22.5703125" style="18" customWidth="1"/>
    <col min="13" max="13" width="27.28515625" style="18" customWidth="1"/>
    <col min="14" max="14" width="11.28515625" style="18" customWidth="1"/>
    <col min="15" max="15" width="11.42578125" style="18" bestFit="1" customWidth="1"/>
    <col min="16" max="16" width="12" style="18" customWidth="1"/>
    <col min="17" max="17" width="7" style="34" bestFit="1" customWidth="1"/>
    <col min="18" max="18" width="10" style="53" customWidth="1"/>
    <col min="19" max="16384" width="9.140625" style="18"/>
  </cols>
  <sheetData>
    <row r="1" spans="1:18" s="161" customFormat="1" ht="18" x14ac:dyDescent="0.2">
      <c r="A1" s="117"/>
      <c r="B1" s="118"/>
      <c r="C1" s="117"/>
      <c r="D1" s="119"/>
      <c r="E1" s="117"/>
      <c r="F1" s="117"/>
      <c r="G1" s="117"/>
      <c r="H1" s="117"/>
      <c r="I1" s="117"/>
      <c r="J1" s="117"/>
      <c r="K1" s="117"/>
      <c r="L1" s="153" t="s">
        <v>818</v>
      </c>
      <c r="M1" s="237" t="s">
        <v>1767</v>
      </c>
      <c r="N1" s="121"/>
      <c r="O1" s="153" t="s">
        <v>148</v>
      </c>
      <c r="P1" s="179">
        <f ca="1">NOW()</f>
        <v>42651.677298958333</v>
      </c>
      <c r="Q1" s="143"/>
      <c r="R1" s="120"/>
    </row>
    <row r="2" spans="1:18" s="161" customFormat="1" ht="23.25" x14ac:dyDescent="0.2">
      <c r="A2" s="117"/>
      <c r="B2" s="139" t="s">
        <v>819</v>
      </c>
      <c r="C2" s="117"/>
      <c r="D2" s="119"/>
      <c r="E2" s="117"/>
      <c r="F2" s="117"/>
      <c r="G2" s="117"/>
      <c r="H2" s="117"/>
      <c r="I2" s="117"/>
      <c r="J2" s="117"/>
      <c r="K2" s="117"/>
      <c r="L2" s="121"/>
      <c r="M2" s="122"/>
      <c r="N2" s="121"/>
      <c r="O2" s="121"/>
      <c r="P2" s="122"/>
      <c r="Q2" s="122"/>
      <c r="R2" s="120"/>
    </row>
    <row r="3" spans="1:18" s="161" customFormat="1" ht="15.75" customHeight="1" x14ac:dyDescent="0.2">
      <c r="A3" s="117"/>
      <c r="B3" s="118"/>
      <c r="C3" s="117"/>
      <c r="D3" s="154" t="s">
        <v>820</v>
      </c>
      <c r="E3" s="267" t="s">
        <v>1765</v>
      </c>
      <c r="F3" s="268"/>
      <c r="G3" s="268"/>
      <c r="H3" s="268"/>
      <c r="I3" s="268"/>
      <c r="J3" s="268"/>
      <c r="K3" s="123"/>
      <c r="L3" s="117"/>
      <c r="M3" s="124"/>
      <c r="N3" s="154" t="s">
        <v>821</v>
      </c>
      <c r="O3" s="267" t="s">
        <v>1768</v>
      </c>
      <c r="P3" s="268"/>
      <c r="Q3" s="141"/>
      <c r="R3" s="125"/>
    </row>
    <row r="4" spans="1:18" s="161" customFormat="1" ht="15.75" customHeight="1" x14ac:dyDescent="0.2">
      <c r="A4" s="135" t="s">
        <v>822</v>
      </c>
      <c r="B4" s="136" t="s">
        <v>239</v>
      </c>
      <c r="C4" s="117"/>
      <c r="D4" s="154" t="s">
        <v>823</v>
      </c>
      <c r="E4" s="267" t="s">
        <v>1766</v>
      </c>
      <c r="F4" s="268"/>
      <c r="G4" s="268"/>
      <c r="H4" s="268"/>
      <c r="I4" s="268"/>
      <c r="J4" s="268"/>
      <c r="K4" s="121"/>
      <c r="L4" s="117"/>
      <c r="M4" s="124"/>
      <c r="N4" s="154" t="s">
        <v>824</v>
      </c>
      <c r="O4" s="269"/>
      <c r="P4" s="269"/>
      <c r="Q4" s="142"/>
      <c r="R4" s="128"/>
    </row>
    <row r="5" spans="1:18" s="131" customFormat="1" x14ac:dyDescent="0.2">
      <c r="A5" s="137" t="s">
        <v>238</v>
      </c>
      <c r="B5" s="138" t="s">
        <v>240</v>
      </c>
      <c r="Q5" s="132"/>
      <c r="R5" s="133"/>
    </row>
    <row r="6" spans="1:18" s="134" customFormat="1" ht="12.75" customHeight="1" x14ac:dyDescent="0.2">
      <c r="H6" s="261" t="s">
        <v>4</v>
      </c>
      <c r="I6" s="276"/>
      <c r="J6" s="276"/>
      <c r="K6" s="276"/>
      <c r="L6" s="261" t="s">
        <v>5</v>
      </c>
      <c r="M6" s="276"/>
      <c r="N6" s="276"/>
      <c r="O6" s="262"/>
      <c r="P6" s="261" t="s">
        <v>11</v>
      </c>
      <c r="Q6" s="262"/>
      <c r="R6" s="145"/>
    </row>
    <row r="7" spans="1:18" s="134" customFormat="1" ht="25.5" x14ac:dyDescent="0.2">
      <c r="A7" s="148" t="s">
        <v>8</v>
      </c>
      <c r="B7" s="149" t="s">
        <v>234</v>
      </c>
      <c r="C7" s="150" t="s">
        <v>497</v>
      </c>
      <c r="D7" s="150" t="s">
        <v>235</v>
      </c>
      <c r="E7" s="150" t="s">
        <v>7</v>
      </c>
      <c r="F7" s="150" t="s">
        <v>499</v>
      </c>
      <c r="G7" s="146" t="s">
        <v>6</v>
      </c>
      <c r="H7" s="148" t="s">
        <v>2</v>
      </c>
      <c r="I7" s="150" t="s">
        <v>1</v>
      </c>
      <c r="J7" s="150" t="s">
        <v>0</v>
      </c>
      <c r="K7" s="146" t="s">
        <v>500</v>
      </c>
      <c r="L7" s="148" t="s">
        <v>2</v>
      </c>
      <c r="M7" s="150" t="s">
        <v>3</v>
      </c>
      <c r="N7" s="150" t="s">
        <v>237</v>
      </c>
      <c r="O7" s="146" t="s">
        <v>236</v>
      </c>
      <c r="P7" s="148" t="s">
        <v>2</v>
      </c>
      <c r="Q7" s="151" t="s">
        <v>7</v>
      </c>
      <c r="R7" s="116" t="s">
        <v>498</v>
      </c>
    </row>
    <row r="8" spans="1:18" x14ac:dyDescent="0.2">
      <c r="A8" s="83" t="s">
        <v>1760</v>
      </c>
      <c r="B8" s="102">
        <v>0.35</v>
      </c>
      <c r="C8" s="14"/>
      <c r="D8" s="14">
        <v>25</v>
      </c>
      <c r="E8" s="147">
        <v>1</v>
      </c>
      <c r="F8" s="110">
        <f t="shared" ref="F8:F12" si="0">IF(ISERROR(36*B8/SQRT(D8)),"-",36*B8/SQRT(D8))</f>
        <v>2.52</v>
      </c>
      <c r="G8" s="14">
        <v>2</v>
      </c>
      <c r="H8" s="218" t="s">
        <v>901</v>
      </c>
      <c r="I8" s="219">
        <v>20</v>
      </c>
      <c r="J8" s="219">
        <v>4</v>
      </c>
      <c r="K8" s="112">
        <f t="shared" ref="K8:K12" si="1">IF(ISERROR((36*B8/J8)^2),"-",(36*B8/J8)^2)</f>
        <v>9.9224999999999994</v>
      </c>
      <c r="L8" s="219" t="s">
        <v>895</v>
      </c>
      <c r="M8" s="219" t="s">
        <v>1757</v>
      </c>
      <c r="N8" s="219">
        <v>350</v>
      </c>
      <c r="O8" s="219">
        <v>350</v>
      </c>
      <c r="P8" s="219" t="s">
        <v>902</v>
      </c>
      <c r="Q8" s="222">
        <f t="shared" ref="Q8:Q12" si="2">1*E8</f>
        <v>1</v>
      </c>
      <c r="R8" s="114" t="str">
        <f t="shared" ref="R8:R12" si="3">IF(OR(ISERROR(K8/(C8+K8)),ISBLANK(C8),ISBLANK(B8)),"-",(K8/(C8+K8)))</f>
        <v>-</v>
      </c>
    </row>
    <row r="9" spans="1:18" x14ac:dyDescent="0.2">
      <c r="A9" s="83" t="s">
        <v>1761</v>
      </c>
      <c r="B9" s="102">
        <v>0.35</v>
      </c>
      <c r="C9" s="14"/>
      <c r="D9" s="14">
        <v>25</v>
      </c>
      <c r="E9" s="147">
        <v>1</v>
      </c>
      <c r="F9" s="110">
        <f t="shared" si="0"/>
        <v>2.52</v>
      </c>
      <c r="G9" s="14">
        <v>2</v>
      </c>
      <c r="H9" s="218" t="s">
        <v>901</v>
      </c>
      <c r="I9" s="219">
        <v>20</v>
      </c>
      <c r="J9" s="219">
        <v>4</v>
      </c>
      <c r="K9" s="112">
        <f t="shared" si="1"/>
        <v>9.9224999999999994</v>
      </c>
      <c r="L9" s="219" t="s">
        <v>895</v>
      </c>
      <c r="M9" s="219" t="s">
        <v>1757</v>
      </c>
      <c r="N9" s="219">
        <v>350</v>
      </c>
      <c r="O9" s="219">
        <v>350</v>
      </c>
      <c r="P9" s="219" t="s">
        <v>902</v>
      </c>
      <c r="Q9" s="222">
        <f t="shared" si="2"/>
        <v>1</v>
      </c>
      <c r="R9" s="114" t="str">
        <f t="shared" si="3"/>
        <v>-</v>
      </c>
    </row>
    <row r="10" spans="1:18" x14ac:dyDescent="0.2">
      <c r="A10" s="83" t="s">
        <v>1762</v>
      </c>
      <c r="B10" s="102">
        <v>0.35</v>
      </c>
      <c r="C10" s="14"/>
      <c r="D10" s="14">
        <v>25</v>
      </c>
      <c r="E10" s="147">
        <v>1</v>
      </c>
      <c r="F10" s="110">
        <f t="shared" si="0"/>
        <v>2.52</v>
      </c>
      <c r="G10" s="14">
        <v>2</v>
      </c>
      <c r="H10" s="218" t="s">
        <v>901</v>
      </c>
      <c r="I10" s="219">
        <v>20</v>
      </c>
      <c r="J10" s="219">
        <v>4</v>
      </c>
      <c r="K10" s="112">
        <f t="shared" si="1"/>
        <v>9.9224999999999994</v>
      </c>
      <c r="L10" s="219" t="s">
        <v>895</v>
      </c>
      <c r="M10" s="219" t="s">
        <v>1757</v>
      </c>
      <c r="N10" s="219">
        <v>350</v>
      </c>
      <c r="O10" s="219">
        <v>350</v>
      </c>
      <c r="P10" s="219" t="s">
        <v>902</v>
      </c>
      <c r="Q10" s="222">
        <f t="shared" si="2"/>
        <v>1</v>
      </c>
      <c r="R10" s="114" t="str">
        <f t="shared" si="3"/>
        <v>-</v>
      </c>
    </row>
    <row r="11" spans="1:18" x14ac:dyDescent="0.2">
      <c r="A11" s="83" t="s">
        <v>1763</v>
      </c>
      <c r="B11" s="102">
        <v>0.35</v>
      </c>
      <c r="C11" s="14"/>
      <c r="D11" s="14">
        <v>25</v>
      </c>
      <c r="E11" s="147">
        <v>1</v>
      </c>
      <c r="F11" s="110">
        <f t="shared" si="0"/>
        <v>2.52</v>
      </c>
      <c r="G11" s="14">
        <v>2</v>
      </c>
      <c r="H11" s="218" t="s">
        <v>901</v>
      </c>
      <c r="I11" s="219">
        <v>20</v>
      </c>
      <c r="J11" s="219">
        <v>4</v>
      </c>
      <c r="K11" s="112">
        <f t="shared" si="1"/>
        <v>9.9224999999999994</v>
      </c>
      <c r="L11" s="219" t="s">
        <v>895</v>
      </c>
      <c r="M11" s="219" t="s">
        <v>1757</v>
      </c>
      <c r="N11" s="219">
        <v>350</v>
      </c>
      <c r="O11" s="219">
        <v>350</v>
      </c>
      <c r="P11" s="219" t="s">
        <v>902</v>
      </c>
      <c r="Q11" s="222">
        <f t="shared" si="2"/>
        <v>1</v>
      </c>
      <c r="R11" s="114" t="str">
        <f t="shared" si="3"/>
        <v>-</v>
      </c>
    </row>
    <row r="12" spans="1:18" x14ac:dyDescent="0.2">
      <c r="A12" s="83" t="s">
        <v>1764</v>
      </c>
      <c r="B12" s="102">
        <v>0.35</v>
      </c>
      <c r="C12" s="14"/>
      <c r="D12" s="14">
        <v>25</v>
      </c>
      <c r="E12" s="147">
        <v>1</v>
      </c>
      <c r="F12" s="110">
        <f t="shared" si="0"/>
        <v>2.52</v>
      </c>
      <c r="G12" s="14">
        <v>2</v>
      </c>
      <c r="H12" s="218" t="s">
        <v>901</v>
      </c>
      <c r="I12" s="219">
        <v>20</v>
      </c>
      <c r="J12" s="219">
        <v>4</v>
      </c>
      <c r="K12" s="112">
        <f t="shared" si="1"/>
        <v>9.9224999999999994</v>
      </c>
      <c r="L12" s="219" t="s">
        <v>895</v>
      </c>
      <c r="M12" s="219" t="s">
        <v>1757</v>
      </c>
      <c r="N12" s="219">
        <v>350</v>
      </c>
      <c r="O12" s="219">
        <v>350</v>
      </c>
      <c r="P12" s="219" t="s">
        <v>902</v>
      </c>
      <c r="Q12" s="222">
        <f t="shared" si="2"/>
        <v>1</v>
      </c>
      <c r="R12" s="114" t="str">
        <f t="shared" si="3"/>
        <v>-</v>
      </c>
    </row>
    <row r="13" spans="1:18" x14ac:dyDescent="0.2">
      <c r="A13" s="83"/>
      <c r="B13" s="102"/>
      <c r="C13" s="14"/>
      <c r="D13" s="147"/>
      <c r="E13" s="147"/>
      <c r="F13" s="110"/>
      <c r="G13" s="14"/>
      <c r="H13" s="218"/>
      <c r="I13" s="219"/>
      <c r="J13" s="219"/>
      <c r="K13" s="112"/>
      <c r="L13" s="219"/>
      <c r="M13" s="219"/>
      <c r="N13" s="219"/>
      <c r="O13" s="219"/>
      <c r="P13" s="219"/>
      <c r="Q13" s="222"/>
      <c r="R13" s="114"/>
    </row>
    <row r="14" spans="1:18" x14ac:dyDescent="0.2">
      <c r="A14" s="83"/>
      <c r="B14" s="102"/>
      <c r="C14" s="14"/>
      <c r="D14" s="147"/>
      <c r="E14" s="147"/>
      <c r="F14" s="110"/>
      <c r="G14" s="14"/>
      <c r="H14" s="218"/>
      <c r="I14" s="219"/>
      <c r="J14" s="219"/>
      <c r="K14" s="112"/>
      <c r="L14" s="219"/>
      <c r="M14" s="219"/>
      <c r="N14" s="219"/>
      <c r="O14" s="219"/>
      <c r="P14" s="219"/>
      <c r="Q14" s="222"/>
      <c r="R14" s="114"/>
    </row>
    <row r="15" spans="1:18" x14ac:dyDescent="0.2">
      <c r="A15" s="83"/>
      <c r="B15" s="102"/>
      <c r="C15" s="14"/>
      <c r="D15" s="14"/>
      <c r="E15" s="147"/>
      <c r="F15" s="110"/>
      <c r="G15" s="14"/>
      <c r="H15" s="218"/>
      <c r="I15" s="219"/>
      <c r="J15" s="219"/>
      <c r="K15" s="112"/>
      <c r="L15" s="219"/>
      <c r="M15" s="219"/>
      <c r="N15" s="219"/>
      <c r="O15" s="219"/>
      <c r="P15" s="219"/>
      <c r="Q15" s="222"/>
      <c r="R15" s="114"/>
    </row>
    <row r="16" spans="1:18" x14ac:dyDescent="0.2">
      <c r="A16" s="83"/>
      <c r="B16" s="102"/>
      <c r="C16" s="14"/>
      <c r="D16" s="14"/>
      <c r="E16" s="147"/>
      <c r="F16" s="110"/>
      <c r="G16" s="14"/>
      <c r="H16" s="218"/>
      <c r="I16" s="219"/>
      <c r="J16" s="219"/>
      <c r="K16" s="112"/>
      <c r="L16" s="219"/>
      <c r="M16" s="219"/>
      <c r="N16" s="219"/>
      <c r="O16" s="219"/>
      <c r="P16" s="219"/>
      <c r="Q16" s="222"/>
      <c r="R16" s="114"/>
    </row>
    <row r="17" spans="1:18" x14ac:dyDescent="0.2">
      <c r="A17" s="83"/>
      <c r="B17" s="102"/>
      <c r="C17" s="14"/>
      <c r="D17" s="14"/>
      <c r="E17" s="147"/>
      <c r="F17" s="110"/>
      <c r="G17" s="14"/>
      <c r="H17" s="218"/>
      <c r="I17" s="219"/>
      <c r="J17" s="219"/>
      <c r="K17" s="112"/>
      <c r="L17" s="219"/>
      <c r="M17" s="219"/>
      <c r="N17" s="219"/>
      <c r="O17" s="219"/>
      <c r="P17" s="219"/>
      <c r="Q17" s="222"/>
      <c r="R17" s="114"/>
    </row>
    <row r="18" spans="1:18" x14ac:dyDescent="0.2">
      <c r="A18" s="83"/>
      <c r="B18" s="102"/>
      <c r="C18" s="14"/>
      <c r="D18" s="14"/>
      <c r="E18" s="147"/>
      <c r="F18" s="110"/>
      <c r="G18" s="14"/>
      <c r="H18" s="219"/>
      <c r="I18" s="219"/>
      <c r="J18" s="219"/>
      <c r="K18" s="112"/>
      <c r="L18" s="219"/>
      <c r="M18" s="219"/>
      <c r="N18" s="219"/>
      <c r="O18" s="219"/>
      <c r="P18" s="219"/>
      <c r="Q18" s="222"/>
      <c r="R18" s="114"/>
    </row>
    <row r="19" spans="1:18" x14ac:dyDescent="0.2">
      <c r="A19" s="83"/>
      <c r="B19" s="102"/>
      <c r="C19" s="14"/>
      <c r="D19" s="14"/>
      <c r="E19" s="147"/>
      <c r="F19" s="110"/>
      <c r="G19" s="14"/>
      <c r="H19" s="218"/>
      <c r="I19" s="219"/>
      <c r="J19" s="219"/>
      <c r="K19" s="112"/>
      <c r="L19" s="219"/>
      <c r="M19" s="219"/>
      <c r="N19" s="219"/>
      <c r="O19" s="219"/>
      <c r="P19" s="219"/>
      <c r="Q19" s="222"/>
      <c r="R19" s="114"/>
    </row>
    <row r="20" spans="1:18" x14ac:dyDescent="0.2">
      <c r="A20" s="83"/>
      <c r="B20" s="102"/>
      <c r="C20" s="14"/>
      <c r="D20" s="14"/>
      <c r="E20" s="147"/>
      <c r="F20" s="110"/>
      <c r="G20" s="14"/>
      <c r="H20" s="218"/>
      <c r="I20" s="219"/>
      <c r="J20" s="219"/>
      <c r="K20" s="112"/>
      <c r="L20" s="219"/>
      <c r="M20" s="218"/>
      <c r="N20" s="219"/>
      <c r="O20" s="219"/>
      <c r="P20" s="219"/>
      <c r="Q20" s="222"/>
      <c r="R20" s="114"/>
    </row>
    <row r="21" spans="1:18" x14ac:dyDescent="0.2">
      <c r="A21" s="21"/>
      <c r="B21" s="102"/>
      <c r="C21" s="14"/>
      <c r="D21" s="14"/>
      <c r="E21" s="147"/>
      <c r="F21" s="110" t="str">
        <f t="shared" ref="F21:F32" si="4">IF(ISERROR(36*B21/SQRT(D21)),"-",36*B21/SQRT(D21))</f>
        <v>-</v>
      </c>
      <c r="G21" s="14"/>
      <c r="H21" s="218" t="s">
        <v>1758</v>
      </c>
      <c r="I21" s="219"/>
      <c r="J21" s="219"/>
      <c r="K21" s="112" t="str">
        <f t="shared" ref="K21:K32" si="5">IF(ISERROR((36*B21/J21)^2),"-",(36*B21/J21)^2)</f>
        <v>-</v>
      </c>
      <c r="L21" s="219"/>
      <c r="M21" s="219"/>
      <c r="N21" s="219"/>
      <c r="O21" s="219"/>
      <c r="P21" s="219"/>
      <c r="Q21" s="222"/>
      <c r="R21" s="114" t="str">
        <f t="shared" ref="R21:R32" si="6">IF(OR(ISERROR(K21/(C21+K21)),ISBLANK(C21),ISBLANK(B21)),"-",(K21/(C21+K21)))</f>
        <v>-</v>
      </c>
    </row>
    <row r="22" spans="1:18" x14ac:dyDescent="0.2">
      <c r="A22" s="21"/>
      <c r="B22" s="102"/>
      <c r="C22" s="14"/>
      <c r="D22" s="14"/>
      <c r="E22" s="147"/>
      <c r="F22" s="110" t="str">
        <f t="shared" si="4"/>
        <v>-</v>
      </c>
      <c r="G22" s="14"/>
      <c r="H22" s="219"/>
      <c r="I22" s="219"/>
      <c r="J22" s="219"/>
      <c r="K22" s="112" t="str">
        <f t="shared" si="5"/>
        <v>-</v>
      </c>
      <c r="L22" s="219"/>
      <c r="M22" s="219"/>
      <c r="N22" s="219"/>
      <c r="O22" s="219"/>
      <c r="P22" s="219"/>
      <c r="Q22" s="222"/>
      <c r="R22" s="114" t="str">
        <f t="shared" si="6"/>
        <v>-</v>
      </c>
    </row>
    <row r="23" spans="1:18" x14ac:dyDescent="0.2">
      <c r="A23" s="21"/>
      <c r="B23" s="102"/>
      <c r="C23" s="14"/>
      <c r="D23" s="14"/>
      <c r="E23" s="147"/>
      <c r="F23" s="110" t="str">
        <f t="shared" si="4"/>
        <v>-</v>
      </c>
      <c r="G23" s="14"/>
      <c r="H23" s="219"/>
      <c r="I23" s="219"/>
      <c r="J23" s="219"/>
      <c r="K23" s="112" t="str">
        <f t="shared" si="5"/>
        <v>-</v>
      </c>
      <c r="L23" s="219"/>
      <c r="M23" s="219"/>
      <c r="N23" s="219"/>
      <c r="O23" s="219"/>
      <c r="P23" s="219"/>
      <c r="Q23" s="222"/>
      <c r="R23" s="114" t="str">
        <f t="shared" si="6"/>
        <v>-</v>
      </c>
    </row>
    <row r="24" spans="1:18" x14ac:dyDescent="0.2">
      <c r="A24" s="21"/>
      <c r="B24" s="260" t="s">
        <v>1759</v>
      </c>
      <c r="C24" s="14"/>
      <c r="D24" s="14"/>
      <c r="E24" s="147"/>
      <c r="F24" s="110" t="str">
        <f t="shared" si="4"/>
        <v>-</v>
      </c>
      <c r="G24" s="14"/>
      <c r="H24" s="219"/>
      <c r="I24" s="219"/>
      <c r="J24" s="219"/>
      <c r="K24" s="112" t="str">
        <f t="shared" si="5"/>
        <v>-</v>
      </c>
      <c r="L24" s="219"/>
      <c r="M24" s="219"/>
      <c r="N24" s="219"/>
      <c r="O24" s="219"/>
      <c r="P24" s="219"/>
      <c r="Q24" s="222"/>
      <c r="R24" s="114" t="str">
        <f t="shared" si="6"/>
        <v>-</v>
      </c>
    </row>
    <row r="25" spans="1:18" x14ac:dyDescent="0.2">
      <c r="A25" s="21"/>
      <c r="B25" s="102"/>
      <c r="C25" s="14"/>
      <c r="D25" s="14"/>
      <c r="E25" s="147"/>
      <c r="F25" s="110" t="str">
        <f t="shared" si="4"/>
        <v>-</v>
      </c>
      <c r="G25" s="14"/>
      <c r="H25" s="219"/>
      <c r="I25" s="219"/>
      <c r="J25" s="219"/>
      <c r="K25" s="112" t="str">
        <f t="shared" si="5"/>
        <v>-</v>
      </c>
      <c r="L25" s="219"/>
      <c r="M25" s="219"/>
      <c r="N25" s="219"/>
      <c r="O25" s="219"/>
      <c r="P25" s="219"/>
      <c r="Q25" s="222"/>
      <c r="R25" s="114" t="str">
        <f t="shared" si="6"/>
        <v>-</v>
      </c>
    </row>
    <row r="26" spans="1:18" x14ac:dyDescent="0.2">
      <c r="A26" s="21"/>
      <c r="B26" s="102"/>
      <c r="C26" s="14"/>
      <c r="D26" s="14"/>
      <c r="E26" s="147"/>
      <c r="F26" s="110" t="str">
        <f t="shared" si="4"/>
        <v>-</v>
      </c>
      <c r="G26" s="14"/>
      <c r="H26" s="219"/>
      <c r="I26" s="219"/>
      <c r="J26" s="219"/>
      <c r="K26" s="112" t="str">
        <f t="shared" si="5"/>
        <v>-</v>
      </c>
      <c r="L26" s="219"/>
      <c r="M26" s="219"/>
      <c r="N26" s="219"/>
      <c r="O26" s="219"/>
      <c r="P26" s="219"/>
      <c r="Q26" s="222"/>
      <c r="R26" s="114" t="str">
        <f t="shared" si="6"/>
        <v>-</v>
      </c>
    </row>
    <row r="27" spans="1:18" x14ac:dyDescent="0.2">
      <c r="A27" s="21"/>
      <c r="B27" s="102"/>
      <c r="C27" s="14"/>
      <c r="D27" s="14"/>
      <c r="E27" s="147"/>
      <c r="F27" s="110" t="str">
        <f t="shared" si="4"/>
        <v>-</v>
      </c>
      <c r="G27" s="14"/>
      <c r="H27" s="219"/>
      <c r="I27" s="219"/>
      <c r="J27" s="219"/>
      <c r="K27" s="112" t="str">
        <f t="shared" si="5"/>
        <v>-</v>
      </c>
      <c r="L27" s="219"/>
      <c r="M27" s="219"/>
      <c r="N27" s="219"/>
      <c r="O27" s="219"/>
      <c r="P27" s="219"/>
      <c r="Q27" s="222"/>
      <c r="R27" s="114" t="str">
        <f t="shared" si="6"/>
        <v>-</v>
      </c>
    </row>
    <row r="28" spans="1:18" x14ac:dyDescent="0.2">
      <c r="A28" s="21"/>
      <c r="B28" s="102"/>
      <c r="C28" s="14"/>
      <c r="D28" s="14"/>
      <c r="E28" s="147"/>
      <c r="F28" s="110" t="str">
        <f t="shared" si="4"/>
        <v>-</v>
      </c>
      <c r="G28" s="14"/>
      <c r="H28" s="218"/>
      <c r="I28" s="219"/>
      <c r="J28" s="219"/>
      <c r="K28" s="112" t="str">
        <f t="shared" si="5"/>
        <v>-</v>
      </c>
      <c r="L28" s="219"/>
      <c r="M28" s="219"/>
      <c r="N28" s="219"/>
      <c r="O28" s="219"/>
      <c r="P28" s="219"/>
      <c r="Q28" s="222"/>
      <c r="R28" s="114" t="str">
        <f t="shared" si="6"/>
        <v>-</v>
      </c>
    </row>
    <row r="29" spans="1:18" x14ac:dyDescent="0.2">
      <c r="A29" s="21"/>
      <c r="B29" s="102"/>
      <c r="C29" s="14"/>
      <c r="D29" s="14"/>
      <c r="E29" s="147"/>
      <c r="F29" s="110" t="str">
        <f t="shared" si="4"/>
        <v>-</v>
      </c>
      <c r="G29" s="14"/>
      <c r="H29" s="219"/>
      <c r="I29" s="219"/>
      <c r="J29" s="219"/>
      <c r="K29" s="112" t="str">
        <f t="shared" si="5"/>
        <v>-</v>
      </c>
      <c r="L29" s="219"/>
      <c r="M29" s="219"/>
      <c r="N29" s="219"/>
      <c r="O29" s="219"/>
      <c r="P29" s="219"/>
      <c r="Q29" s="222"/>
      <c r="R29" s="114" t="str">
        <f t="shared" si="6"/>
        <v>-</v>
      </c>
    </row>
    <row r="30" spans="1:18" x14ac:dyDescent="0.2">
      <c r="A30" s="21"/>
      <c r="B30" s="102"/>
      <c r="C30" s="14"/>
      <c r="D30" s="14"/>
      <c r="E30" s="147"/>
      <c r="F30" s="110" t="str">
        <f t="shared" si="4"/>
        <v>-</v>
      </c>
      <c r="G30" s="14"/>
      <c r="H30" s="219"/>
      <c r="I30" s="219"/>
      <c r="J30" s="219"/>
      <c r="K30" s="112" t="str">
        <f t="shared" si="5"/>
        <v>-</v>
      </c>
      <c r="L30" s="219"/>
      <c r="M30" s="219"/>
      <c r="N30" s="219"/>
      <c r="O30" s="219"/>
      <c r="P30" s="219"/>
      <c r="Q30" s="222"/>
      <c r="R30" s="114" t="str">
        <f t="shared" si="6"/>
        <v>-</v>
      </c>
    </row>
    <row r="31" spans="1:18" x14ac:dyDescent="0.2">
      <c r="A31" s="21"/>
      <c r="B31" s="102"/>
      <c r="C31" s="14"/>
      <c r="D31" s="14"/>
      <c r="E31" s="147"/>
      <c r="F31" s="110" t="str">
        <f t="shared" si="4"/>
        <v>-</v>
      </c>
      <c r="G31" s="14"/>
      <c r="H31" s="219"/>
      <c r="I31" s="219"/>
      <c r="J31" s="219"/>
      <c r="K31" s="112" t="str">
        <f t="shared" si="5"/>
        <v>-</v>
      </c>
      <c r="L31" s="219"/>
      <c r="M31" s="219"/>
      <c r="N31" s="219"/>
      <c r="O31" s="219"/>
      <c r="P31" s="219"/>
      <c r="Q31" s="222"/>
      <c r="R31" s="114" t="str">
        <f t="shared" si="6"/>
        <v>-</v>
      </c>
    </row>
    <row r="32" spans="1:18" x14ac:dyDescent="0.2">
      <c r="A32" s="21"/>
      <c r="B32" s="102"/>
      <c r="C32" s="14"/>
      <c r="D32" s="14"/>
      <c r="E32" s="147"/>
      <c r="F32" s="110" t="str">
        <f t="shared" si="4"/>
        <v>-</v>
      </c>
      <c r="G32" s="14"/>
      <c r="H32" s="219"/>
      <c r="I32" s="219"/>
      <c r="J32" s="219"/>
      <c r="K32" s="112" t="str">
        <f t="shared" si="5"/>
        <v>-</v>
      </c>
      <c r="L32" s="219"/>
      <c r="M32" s="219"/>
      <c r="N32" s="219"/>
      <c r="O32" s="219"/>
      <c r="P32" s="219"/>
      <c r="Q32" s="222"/>
      <c r="R32" s="114" t="str">
        <f t="shared" si="6"/>
        <v>-</v>
      </c>
    </row>
    <row r="33" spans="1:18" x14ac:dyDescent="0.2">
      <c r="A33" s="21"/>
      <c r="B33" s="102"/>
      <c r="C33" s="14"/>
      <c r="D33" s="14"/>
      <c r="E33" s="147"/>
      <c r="F33" s="110" t="str">
        <f t="shared" ref="F33:F36" si="7">IF(ISERROR(36*B33/SQRT(D33)),"-",36*B33/SQRT(D33))</f>
        <v>-</v>
      </c>
      <c r="G33" s="14"/>
      <c r="H33" s="219"/>
      <c r="I33" s="219"/>
      <c r="J33" s="219"/>
      <c r="K33" s="112" t="str">
        <f t="shared" ref="K33:K36" si="8">IF(ISERROR((36*B33/J33)^2),"-",(36*B33/J33)^2)</f>
        <v>-</v>
      </c>
      <c r="L33" s="219"/>
      <c r="M33" s="219"/>
      <c r="N33" s="219"/>
      <c r="O33" s="219"/>
      <c r="P33" s="219"/>
      <c r="Q33" s="222"/>
      <c r="R33" s="114" t="str">
        <f t="shared" ref="R33:R36" si="9">IF(OR(ISERROR(K33/(C33+K33)),ISBLANK(C33),ISBLANK(B33)),"-",(K33/(C33+K33)))</f>
        <v>-</v>
      </c>
    </row>
    <row r="34" spans="1:18" x14ac:dyDescent="0.2">
      <c r="A34" s="21"/>
      <c r="B34" s="102"/>
      <c r="C34" s="14"/>
      <c r="D34" s="14"/>
      <c r="E34" s="147"/>
      <c r="F34" s="110" t="str">
        <f t="shared" si="7"/>
        <v>-</v>
      </c>
      <c r="G34" s="14"/>
      <c r="H34" s="219"/>
      <c r="I34" s="219"/>
      <c r="J34" s="219"/>
      <c r="K34" s="112" t="str">
        <f t="shared" si="8"/>
        <v>-</v>
      </c>
      <c r="L34" s="219"/>
      <c r="M34" s="219"/>
      <c r="N34" s="219"/>
      <c r="O34" s="219"/>
      <c r="P34" s="219"/>
      <c r="Q34" s="222"/>
      <c r="R34" s="114" t="str">
        <f t="shared" si="9"/>
        <v>-</v>
      </c>
    </row>
    <row r="35" spans="1:18" x14ac:dyDescent="0.2">
      <c r="A35" s="21"/>
      <c r="B35" s="102"/>
      <c r="C35" s="14"/>
      <c r="D35" s="14"/>
      <c r="E35" s="147"/>
      <c r="F35" s="110" t="str">
        <f t="shared" si="7"/>
        <v>-</v>
      </c>
      <c r="G35" s="14"/>
      <c r="H35" s="219"/>
      <c r="I35" s="219"/>
      <c r="J35" s="219"/>
      <c r="K35" s="112" t="str">
        <f t="shared" si="8"/>
        <v>-</v>
      </c>
      <c r="L35" s="219"/>
      <c r="M35" s="219"/>
      <c r="N35" s="219"/>
      <c r="O35" s="219"/>
      <c r="P35" s="219"/>
      <c r="Q35" s="222"/>
      <c r="R35" s="114" t="str">
        <f t="shared" si="9"/>
        <v>-</v>
      </c>
    </row>
    <row r="36" spans="1:18" x14ac:dyDescent="0.2">
      <c r="A36" s="21"/>
      <c r="B36" s="102"/>
      <c r="C36" s="14"/>
      <c r="D36" s="14"/>
      <c r="E36" s="147"/>
      <c r="F36" s="110" t="str">
        <f t="shared" si="7"/>
        <v>-</v>
      </c>
      <c r="G36" s="14"/>
      <c r="H36" s="219"/>
      <c r="I36" s="219"/>
      <c r="J36" s="219"/>
      <c r="K36" s="112" t="str">
        <f t="shared" si="8"/>
        <v>-</v>
      </c>
      <c r="L36" s="219"/>
      <c r="M36" s="219"/>
      <c r="N36" s="219"/>
      <c r="O36" s="219"/>
      <c r="P36" s="219"/>
      <c r="Q36" s="222"/>
      <c r="R36" s="114" t="str">
        <f t="shared" si="9"/>
        <v>-</v>
      </c>
    </row>
    <row r="37" spans="1:18" x14ac:dyDescent="0.2">
      <c r="A37" s="23"/>
      <c r="B37" s="24"/>
      <c r="C37" s="15"/>
      <c r="D37" s="15"/>
      <c r="E37" s="15"/>
      <c r="F37" s="111" t="str">
        <f t="shared" ref="F37" si="10">IF(ISERROR(36*B37/SQRT(D37)),"-",36*B37/SQRT(D37))</f>
        <v>-</v>
      </c>
      <c r="G37" s="15"/>
      <c r="H37" s="220"/>
      <c r="I37" s="221"/>
      <c r="J37" s="221"/>
      <c r="K37" s="113" t="str">
        <f t="shared" ref="K37" si="11">IF(ISERROR((36*B37/J37)^2),"-",(36*B37/J37)^2)</f>
        <v>-</v>
      </c>
      <c r="L37" s="221"/>
      <c r="M37" s="221"/>
      <c r="N37" s="221"/>
      <c r="O37" s="221"/>
      <c r="P37" s="221"/>
      <c r="Q37" s="223"/>
      <c r="R37" s="115" t="str">
        <f t="shared" ref="R37" si="12">IF(OR(ISERROR(K37/(C37+K37)),ISBLANK(C37),ISBLANK(B37)),"-",(K37/(C37+K37)))</f>
        <v>-</v>
      </c>
    </row>
    <row r="38" spans="1:18" s="30" customFormat="1" hidden="1" x14ac:dyDescent="0.2">
      <c r="A38" s="25"/>
      <c r="B38" s="26"/>
      <c r="C38" s="17"/>
      <c r="D38" s="17"/>
      <c r="E38" s="17" t="s">
        <v>221</v>
      </c>
      <c r="F38" s="27"/>
      <c r="G38" s="17"/>
      <c r="H38" s="17" t="s">
        <v>221</v>
      </c>
      <c r="I38" s="17"/>
      <c r="J38" s="17"/>
      <c r="K38" s="28"/>
      <c r="L38" s="17" t="s">
        <v>221</v>
      </c>
      <c r="M38" s="17"/>
      <c r="N38" s="17"/>
      <c r="O38" s="17"/>
      <c r="P38" s="17" t="s">
        <v>221</v>
      </c>
      <c r="Q38" s="29" t="s">
        <v>221</v>
      </c>
      <c r="R38" s="54"/>
    </row>
    <row r="39" spans="1:18" x14ac:dyDescent="0.2">
      <c r="A39" s="20"/>
      <c r="B39" s="31"/>
      <c r="C39" s="20"/>
      <c r="D39" s="20"/>
      <c r="E39" s="20"/>
      <c r="F39" s="20"/>
      <c r="G39" s="20"/>
      <c r="H39" s="20"/>
      <c r="I39" s="20"/>
      <c r="J39" s="20"/>
      <c r="K39" s="20"/>
      <c r="L39" s="20"/>
      <c r="Q39" s="32"/>
      <c r="R39" s="55"/>
    </row>
    <row r="40" spans="1:18" x14ac:dyDescent="0.2">
      <c r="A40" s="20" t="s">
        <v>9</v>
      </c>
      <c r="B40" s="31"/>
      <c r="C40" s="20"/>
      <c r="D40" s="20"/>
      <c r="E40" s="33">
        <f>SUM(E8:E37)</f>
        <v>5</v>
      </c>
      <c r="F40" s="20"/>
      <c r="G40" s="33"/>
      <c r="H40" s="20"/>
      <c r="I40" s="20"/>
      <c r="J40" s="20"/>
      <c r="K40" s="20"/>
      <c r="L40" s="20"/>
      <c r="R40" s="55"/>
    </row>
    <row r="41" spans="1:18" x14ac:dyDescent="0.2">
      <c r="A41" s="20"/>
      <c r="B41" s="31"/>
      <c r="C41" s="20"/>
      <c r="D41" s="20"/>
      <c r="E41" s="20"/>
      <c r="F41" s="20"/>
      <c r="G41" s="20"/>
      <c r="H41" s="20"/>
      <c r="R41" s="55"/>
    </row>
    <row r="42" spans="1:18" x14ac:dyDescent="0.2">
      <c r="A42" s="204" t="s">
        <v>10</v>
      </c>
      <c r="B42" s="31"/>
      <c r="C42" s="20"/>
      <c r="D42" s="20"/>
      <c r="E42" s="20"/>
      <c r="F42" s="20"/>
      <c r="G42" s="20"/>
      <c r="H42" s="20"/>
      <c r="R42" s="55"/>
    </row>
    <row r="43" spans="1:18" x14ac:dyDescent="0.2">
      <c r="A43" s="204"/>
      <c r="B43" s="31"/>
      <c r="C43" s="20"/>
      <c r="D43" s="20"/>
      <c r="E43" s="20"/>
      <c r="F43" s="20"/>
      <c r="G43" s="20"/>
      <c r="H43" s="20"/>
      <c r="R43" s="55"/>
    </row>
    <row r="44" spans="1:18" x14ac:dyDescent="0.2">
      <c r="A44" s="20"/>
      <c r="B44" s="105"/>
      <c r="C44" s="104" t="s">
        <v>808</v>
      </c>
      <c r="D44" s="20"/>
      <c r="E44" s="20"/>
      <c r="F44" s="20"/>
      <c r="G44" s="20"/>
      <c r="H44" s="20"/>
      <c r="I44" s="20"/>
      <c r="J44" s="20"/>
      <c r="K44" s="20"/>
      <c r="L44" s="20"/>
      <c r="M44" s="35"/>
      <c r="R44" s="55"/>
    </row>
    <row r="45" spans="1:18" x14ac:dyDescent="0.2">
      <c r="A45" s="20"/>
      <c r="B45" s="106"/>
      <c r="C45" s="104" t="s">
        <v>806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R45" s="55"/>
    </row>
    <row r="46" spans="1:18" x14ac:dyDescent="0.2">
      <c r="A46" s="36"/>
      <c r="B46" s="152"/>
      <c r="C46" s="104" t="s">
        <v>807</v>
      </c>
      <c r="D46" s="20"/>
      <c r="E46" s="20"/>
      <c r="F46" s="20"/>
      <c r="G46" s="20"/>
      <c r="H46" s="20"/>
      <c r="I46" s="20"/>
      <c r="J46" s="20"/>
      <c r="K46" s="20"/>
      <c r="L46" s="20"/>
      <c r="R46" s="55"/>
    </row>
    <row r="47" spans="1:18" x14ac:dyDescent="0.2">
      <c r="A47" s="36"/>
      <c r="B47" s="235"/>
      <c r="C47" s="104" t="s">
        <v>873</v>
      </c>
      <c r="D47" s="20"/>
      <c r="E47" s="20"/>
      <c r="F47" s="20"/>
      <c r="G47" s="20"/>
      <c r="H47" s="20"/>
      <c r="I47" s="20"/>
      <c r="J47" s="20"/>
      <c r="K47" s="20"/>
      <c r="L47" s="20"/>
      <c r="R47" s="55"/>
    </row>
    <row r="48" spans="1:18" ht="13.5" thickBot="1" x14ac:dyDescent="0.25">
      <c r="A48" s="36"/>
      <c r="B48" s="208"/>
      <c r="C48" s="104" t="s">
        <v>874</v>
      </c>
    </row>
    <row r="49" spans="1:17" x14ac:dyDescent="0.2">
      <c r="A49" s="205"/>
      <c r="B49" s="31"/>
      <c r="I49" s="273" t="s">
        <v>0</v>
      </c>
      <c r="J49" s="274"/>
      <c r="K49" s="275"/>
      <c r="L49" s="209" t="s">
        <v>833</v>
      </c>
      <c r="M49" s="209" t="s">
        <v>829</v>
      </c>
      <c r="N49" s="263" t="s">
        <v>817</v>
      </c>
      <c r="O49" s="263"/>
      <c r="P49" s="263" t="s">
        <v>836</v>
      </c>
      <c r="Q49" s="264"/>
    </row>
    <row r="50" spans="1:17" ht="60.75" thickBot="1" x14ac:dyDescent="0.25">
      <c r="A50" s="94"/>
      <c r="B50" s="31"/>
      <c r="I50" s="270" t="s">
        <v>842</v>
      </c>
      <c r="J50" s="271"/>
      <c r="K50" s="272"/>
      <c r="L50" s="210" t="s">
        <v>841</v>
      </c>
      <c r="M50" s="210" t="s">
        <v>834</v>
      </c>
      <c r="N50" s="265" t="s">
        <v>832</v>
      </c>
      <c r="O50" s="265"/>
      <c r="P50" s="265" t="s">
        <v>840</v>
      </c>
      <c r="Q50" s="266"/>
    </row>
    <row r="51" spans="1:17" x14ac:dyDescent="0.2">
      <c r="A51" s="94"/>
      <c r="B51" s="31"/>
    </row>
    <row r="52" spans="1:17" x14ac:dyDescent="0.2">
      <c r="A52" s="94"/>
    </row>
    <row r="53" spans="1:17" x14ac:dyDescent="0.2">
      <c r="A53" s="94"/>
    </row>
    <row r="54" spans="1:17" x14ac:dyDescent="0.2">
      <c r="A54" s="94"/>
    </row>
    <row r="55" spans="1:17" x14ac:dyDescent="0.2">
      <c r="A55" s="94"/>
    </row>
    <row r="56" spans="1:17" x14ac:dyDescent="0.2">
      <c r="A56" s="94"/>
    </row>
    <row r="57" spans="1:17" x14ac:dyDescent="0.2">
      <c r="A57" s="206"/>
    </row>
    <row r="58" spans="1:17" x14ac:dyDescent="0.2">
      <c r="A58" s="206"/>
    </row>
    <row r="59" spans="1:17" x14ac:dyDescent="0.2">
      <c r="A59" s="206"/>
    </row>
    <row r="60" spans="1:17" x14ac:dyDescent="0.2">
      <c r="A60" s="206"/>
    </row>
    <row r="61" spans="1:17" x14ac:dyDescent="0.2">
      <c r="A61" s="206"/>
    </row>
  </sheetData>
  <sheetProtection formatCells="0" formatColumns="0" formatRows="0" insertRows="0" insertHyperlinks="0" deleteRows="0" sort="0" autoFilter="0" pivotTables="0"/>
  <dataConsolidate>
    <dataRefs count="1">
      <dataRef ref="O8:O124" sheet="Valves Selection"/>
    </dataRefs>
  </dataConsolidate>
  <mergeCells count="13">
    <mergeCell ref="P6:Q6"/>
    <mergeCell ref="P49:Q49"/>
    <mergeCell ref="P50:Q50"/>
    <mergeCell ref="E3:J3"/>
    <mergeCell ref="E4:J4"/>
    <mergeCell ref="O4:P4"/>
    <mergeCell ref="O3:P3"/>
    <mergeCell ref="N49:O49"/>
    <mergeCell ref="N50:O50"/>
    <mergeCell ref="I50:K50"/>
    <mergeCell ref="I49:K49"/>
    <mergeCell ref="H6:K6"/>
    <mergeCell ref="L6:O6"/>
  </mergeCells>
  <phoneticPr fontId="0" type="noConversion"/>
  <conditionalFormatting sqref="G13:G38">
    <cfRule type="cellIs" dxfId="29" priority="21" stopIfTrue="1" operator="equal">
      <formula>3</formula>
    </cfRule>
  </conditionalFormatting>
  <conditionalFormatting sqref="O13:O14 O16:O37">
    <cfRule type="expression" dxfId="28" priority="19" stopIfTrue="1">
      <formula>ISBLANK($O13)</formula>
    </cfRule>
    <cfRule type="expression" dxfId="27" priority="20" stopIfTrue="1">
      <formula>AND($G13=2,$O13&lt;300)</formula>
    </cfRule>
  </conditionalFormatting>
  <conditionalFormatting sqref="H13:H14 H16:H37">
    <cfRule type="expression" dxfId="26" priority="16">
      <formula>AND(NOT(ISBLANK($E13)),ISBLANK($H13))</formula>
    </cfRule>
    <cfRule type="expression" dxfId="25" priority="17">
      <formula>AND(($G13=2),OR(AND((LEFT($H13,1)="V"),(MID($H13,2,1)&lt;&gt;"V"),(MID($H13,2,1)&lt;&gt;"A"),(MID($H13,2,1)&lt;&gt;"K")),(LEFT($H13,4)="C/VX")))</formula>
    </cfRule>
    <cfRule type="expression" dxfId="24" priority="18">
      <formula>AND(($G13=3),OR(AND((LEFT($H13,1)="V"),(MID($H13,2,1)&lt;&gt;"X"),(MID($H13,2,1)&lt;&gt;"B")),(LEFT($H13,4)="C/VV")))</formula>
    </cfRule>
  </conditionalFormatting>
  <conditionalFormatting sqref="E13:E37">
    <cfRule type="expression" dxfId="23" priority="15">
      <formula>AND(NOT(ISBLANK($H13)),ISBLANK($E13))</formula>
    </cfRule>
  </conditionalFormatting>
  <conditionalFormatting sqref="R13:R37">
    <cfRule type="cellIs" dxfId="22" priority="14" operator="lessThan">
      <formula>0.5</formula>
    </cfRule>
  </conditionalFormatting>
  <conditionalFormatting sqref="O15">
    <cfRule type="expression" dxfId="21" priority="12" stopIfTrue="1">
      <formula>ISBLANK($O15)</formula>
    </cfRule>
    <cfRule type="expression" dxfId="20" priority="13" stopIfTrue="1">
      <formula>AND($G15=2,$O15&lt;300)</formula>
    </cfRule>
  </conditionalFormatting>
  <conditionalFormatting sqref="H15">
    <cfRule type="expression" dxfId="19" priority="9">
      <formula>AND(NOT(ISBLANK($E15)),ISBLANK($H15))</formula>
    </cfRule>
    <cfRule type="expression" dxfId="18" priority="10">
      <formula>AND(($G15=2),OR(AND((LEFT($H15,1)="V"),(MID($H15,2,1)&lt;&gt;"V"),(MID($H15,2,1)&lt;&gt;"A"),(MID($H15,2,1)&lt;&gt;"K")),(LEFT($H15,4)="C/VX")))</formula>
    </cfRule>
    <cfRule type="expression" dxfId="17" priority="11">
      <formula>AND(($G15=3),OR(AND((LEFT($H15,1)="V"),(MID($H15,2,1)&lt;&gt;"X"),(MID($H15,2,1)&lt;&gt;"B")),(LEFT($H15,4)="C/VV")))</formula>
    </cfRule>
  </conditionalFormatting>
  <conditionalFormatting sqref="G8:G12">
    <cfRule type="cellIs" dxfId="16" priority="8" stopIfTrue="1" operator="equal">
      <formula>3</formula>
    </cfRule>
  </conditionalFormatting>
  <conditionalFormatting sqref="E8:E12">
    <cfRule type="expression" dxfId="15" priority="7">
      <formula>AND(NOT(ISBLANK($H8)),ISBLANK($E8))</formula>
    </cfRule>
  </conditionalFormatting>
  <conditionalFormatting sqref="R8:R12">
    <cfRule type="cellIs" dxfId="14" priority="6" operator="lessThan">
      <formula>0.5</formula>
    </cfRule>
  </conditionalFormatting>
  <conditionalFormatting sqref="O8:O12">
    <cfRule type="expression" dxfId="13" priority="4" stopIfTrue="1">
      <formula>ISBLANK($O8)</formula>
    </cfRule>
    <cfRule type="expression" dxfId="12" priority="5" stopIfTrue="1">
      <formula>AND($G8=2,$O8&lt;300)</formula>
    </cfRule>
  </conditionalFormatting>
  <conditionalFormatting sqref="H8:H12">
    <cfRule type="expression" dxfId="11" priority="1">
      <formula>AND(NOT(ISBLANK($E8)),ISBLANK($H8))</formula>
    </cfRule>
    <cfRule type="expression" dxfId="10" priority="2">
      <formula>AND(($G8=2),OR(AND((LEFT($H8,1)="V"),(MID($H8,2,1)&lt;&gt;"V"),(MID($H8,2,1)&lt;&gt;"A"),(MID($H8,2,1)&lt;&gt;"K")),(LEFT($H8,4)="C/VX")))</formula>
    </cfRule>
    <cfRule type="expression" dxfId="9" priority="3">
      <formula>AND(($G8=3),OR(AND((LEFT($H8,1)="V"),(MID($H8,2,1)&lt;&gt;"X"),(MID($H8,2,1)&lt;&gt;"B")),(LEFT($H8,4)="C/VV")))</formula>
    </cfRule>
  </conditionalFormatting>
  <printOptions horizontalCentered="1"/>
  <pageMargins left="0.15748031496062992" right="0.15748031496062992" top="0.39370078740157483" bottom="0.9055118110236221" header="0.19685039370078741" footer="0.19685039370078741"/>
  <pageSetup paperSize="9" scale="70" fitToHeight="100" orientation="landscape" r:id="rId1"/>
  <headerFooter>
    <oddFooter>&amp;L&amp;9 &amp;G     Building Technologies&amp;R&amp;9&amp;G          Page &amp;P of &amp;N          &amp;D</odd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Visio.Drawing.11" shapeId="1025" r:id="rId5">
          <objectPr defaultSize="0" autoPict="0" r:id="rId6">
            <anchor moveWithCells="1">
              <from>
                <xdr:col>6</xdr:col>
                <xdr:colOff>114300</xdr:colOff>
                <xdr:row>0</xdr:row>
                <xdr:rowOff>28575</xdr:rowOff>
              </from>
              <to>
                <xdr:col>8</xdr:col>
                <xdr:colOff>200025</xdr:colOff>
                <xdr:row>1</xdr:row>
                <xdr:rowOff>209550</xdr:rowOff>
              </to>
            </anchor>
          </objectPr>
        </oleObject>
      </mc:Choice>
      <mc:Fallback>
        <oleObject progId="Visio.Drawing.11" shapeId="1025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O318"/>
  <sheetViews>
    <sheetView showGridLines="0" zoomScale="90" zoomScaleNormal="90" workbookViewId="0">
      <pane ySplit="8" topLeftCell="A9" activePane="bottomLeft" state="frozen"/>
      <selection activeCell="K11" sqref="K11"/>
      <selection pane="bottomLeft" activeCell="K11" sqref="K11"/>
    </sheetView>
  </sheetViews>
  <sheetFormatPr defaultRowHeight="12.75" x14ac:dyDescent="0.2"/>
  <cols>
    <col min="1" max="1" width="35.5703125" style="37" customWidth="1"/>
    <col min="2" max="3" width="11.28515625" style="37" customWidth="1"/>
    <col min="4" max="4" width="9.140625" style="38"/>
    <col min="5" max="5" width="5.5703125" style="37" customWidth="1"/>
    <col min="6" max="6" width="15.28515625" style="37" customWidth="1"/>
    <col min="7" max="7" width="10.28515625" style="38" customWidth="1"/>
    <col min="8" max="8" width="11.5703125" style="37" customWidth="1"/>
    <col min="9" max="9" width="19.42578125" style="38" bestFit="1" customWidth="1"/>
    <col min="10" max="10" width="24.7109375" style="39" bestFit="1" customWidth="1"/>
    <col min="11" max="11" width="13.5703125" style="38" customWidth="1"/>
    <col min="12" max="16384" width="9.140625" style="37"/>
  </cols>
  <sheetData>
    <row r="1" spans="1:15" s="161" customFormat="1" ht="18" x14ac:dyDescent="0.2">
      <c r="A1" s="160"/>
      <c r="B1" s="160"/>
      <c r="H1" s="153" t="s">
        <v>818</v>
      </c>
      <c r="I1" s="171" t="str">
        <f>IF('Valves Selection'!M1=0,"",'Valves Selection'!M1)</f>
        <v>CWQ 1464</v>
      </c>
      <c r="J1" s="153" t="s">
        <v>148</v>
      </c>
      <c r="K1" s="170">
        <f ca="1">IF('Valves Selection'!P1=0,"",'Valves Selection'!P1)</f>
        <v>42651.677298958333</v>
      </c>
      <c r="L1" s="140"/>
    </row>
    <row r="2" spans="1:15" s="161" customFormat="1" ht="23.25" x14ac:dyDescent="0.2">
      <c r="A2" s="160"/>
      <c r="B2" s="139" t="s">
        <v>825</v>
      </c>
      <c r="I2" s="162"/>
      <c r="J2" s="140"/>
      <c r="K2" s="162"/>
      <c r="L2" s="140"/>
    </row>
    <row r="3" spans="1:15" s="161" customFormat="1" ht="15.75" customHeight="1" x14ac:dyDescent="0.2">
      <c r="A3" s="154" t="s">
        <v>820</v>
      </c>
      <c r="B3" s="268" t="str">
        <f>IF('Valves Selection'!E3=0,"",'Valves Selection'!E3)</f>
        <v xml:space="preserve">SCUH Tenancey </v>
      </c>
      <c r="C3" s="268"/>
      <c r="D3" s="268"/>
      <c r="E3" s="268"/>
      <c r="F3" s="268"/>
      <c r="G3" s="268"/>
      <c r="H3" s="163"/>
      <c r="I3" s="154" t="s">
        <v>821</v>
      </c>
      <c r="J3" s="168" t="str">
        <f>IF('Valves Selection'!O3=0,"",'Valves Selection'!O3)</f>
        <v>Shop Steel</v>
      </c>
      <c r="K3" s="141"/>
      <c r="L3" s="140"/>
    </row>
    <row r="4" spans="1:15" s="161" customFormat="1" ht="15.75" customHeight="1" x14ac:dyDescent="0.2">
      <c r="A4" s="154" t="s">
        <v>823</v>
      </c>
      <c r="B4" s="268" t="str">
        <f>IF('Valves Selection'!E4=0,"",'Valves Selection'!E4)</f>
        <v>Controlworks QLD</v>
      </c>
      <c r="C4" s="268"/>
      <c r="D4" s="268"/>
      <c r="E4" s="268"/>
      <c r="F4" s="268"/>
      <c r="G4" s="268"/>
      <c r="H4" s="162"/>
      <c r="I4" s="154" t="s">
        <v>824</v>
      </c>
      <c r="J4" s="169" t="str">
        <f>IF('Valves Selection'!O4=0,"",'Valves Selection'!O4)</f>
        <v/>
      </c>
      <c r="K4" s="142"/>
      <c r="L4" s="140"/>
    </row>
    <row r="5" spans="1:15" s="164" customFormat="1" x14ac:dyDescent="0.2">
      <c r="B5" s="165"/>
      <c r="L5" s="167"/>
      <c r="O5" s="173"/>
    </row>
    <row r="6" spans="1:15" s="166" customFormat="1" x14ac:dyDescent="0.2">
      <c r="D6" s="164"/>
      <c r="G6" s="164"/>
      <c r="I6" s="164"/>
      <c r="J6" s="167"/>
      <c r="K6" s="164"/>
      <c r="L6" s="172"/>
    </row>
    <row r="7" spans="1:15" s="166" customFormat="1" ht="13.5" customHeight="1" x14ac:dyDescent="0.2">
      <c r="A7" s="277" t="s">
        <v>8</v>
      </c>
      <c r="B7" s="278" t="s">
        <v>149</v>
      </c>
      <c r="C7" s="278"/>
      <c r="D7" s="279" t="s">
        <v>150</v>
      </c>
      <c r="E7" s="281" t="s">
        <v>7</v>
      </c>
      <c r="F7" s="281" t="s">
        <v>151</v>
      </c>
      <c r="G7" s="281" t="s">
        <v>208</v>
      </c>
      <c r="H7" s="281" t="s">
        <v>805</v>
      </c>
      <c r="I7" s="281" t="s">
        <v>210</v>
      </c>
      <c r="J7" s="281" t="s">
        <v>211</v>
      </c>
      <c r="K7" s="283" t="s">
        <v>209</v>
      </c>
      <c r="L7" s="172"/>
    </row>
    <row r="8" spans="1:15" s="166" customFormat="1" ht="13.5" customHeight="1" x14ac:dyDescent="0.2">
      <c r="A8" s="277"/>
      <c r="B8" s="155" t="s">
        <v>152</v>
      </c>
      <c r="C8" s="156" t="s">
        <v>153</v>
      </c>
      <c r="D8" s="280"/>
      <c r="E8" s="282"/>
      <c r="F8" s="282"/>
      <c r="G8" s="282"/>
      <c r="H8" s="282"/>
      <c r="I8" s="282"/>
      <c r="J8" s="282"/>
      <c r="K8" s="284"/>
      <c r="L8" s="172"/>
    </row>
    <row r="9" spans="1:15" x14ac:dyDescent="0.2">
      <c r="A9" s="40"/>
      <c r="B9" s="40"/>
      <c r="C9" s="40"/>
      <c r="D9" s="157">
        <f>B9*C9/10^6</f>
        <v>0</v>
      </c>
      <c r="E9" s="207"/>
      <c r="F9" s="224"/>
      <c r="G9" s="225"/>
      <c r="H9" s="226"/>
      <c r="I9" s="226"/>
      <c r="J9" s="226"/>
      <c r="K9" s="226"/>
    </row>
    <row r="10" spans="1:15" x14ac:dyDescent="0.2">
      <c r="A10" s="40"/>
      <c r="B10" s="40"/>
      <c r="C10" s="40"/>
      <c r="D10" s="157">
        <f t="shared" ref="D10:D177" si="0">B10*C10/10^6</f>
        <v>0</v>
      </c>
      <c r="E10" s="41"/>
      <c r="F10" s="227"/>
      <c r="G10" s="228"/>
      <c r="H10" s="229"/>
      <c r="I10" s="229"/>
      <c r="J10" s="229"/>
      <c r="K10" s="229"/>
    </row>
    <row r="11" spans="1:15" x14ac:dyDescent="0.2">
      <c r="A11" s="40"/>
      <c r="B11" s="40"/>
      <c r="C11" s="40"/>
      <c r="D11" s="157">
        <f t="shared" si="0"/>
        <v>0</v>
      </c>
      <c r="E11" s="41"/>
      <c r="F11" s="227"/>
      <c r="G11" s="228"/>
      <c r="H11" s="229"/>
      <c r="I11" s="229"/>
      <c r="J11" s="229"/>
      <c r="K11" s="229"/>
    </row>
    <row r="12" spans="1:15" x14ac:dyDescent="0.2">
      <c r="A12" s="40"/>
      <c r="B12" s="40"/>
      <c r="C12" s="40"/>
      <c r="D12" s="157">
        <f t="shared" si="0"/>
        <v>0</v>
      </c>
      <c r="E12" s="41"/>
      <c r="F12" s="230"/>
      <c r="G12" s="228"/>
      <c r="H12" s="229"/>
      <c r="I12" s="229"/>
      <c r="J12" s="229"/>
      <c r="K12" s="229"/>
    </row>
    <row r="13" spans="1:15" x14ac:dyDescent="0.2">
      <c r="A13" s="40"/>
      <c r="B13" s="40"/>
      <c r="C13" s="40"/>
      <c r="D13" s="157">
        <f t="shared" si="0"/>
        <v>0</v>
      </c>
      <c r="E13" s="41"/>
      <c r="F13" s="230"/>
      <c r="G13" s="228"/>
      <c r="H13" s="229"/>
      <c r="I13" s="229"/>
      <c r="J13" s="229"/>
      <c r="K13" s="229"/>
    </row>
    <row r="14" spans="1:15" x14ac:dyDescent="0.2">
      <c r="A14" s="40"/>
      <c r="B14" s="40"/>
      <c r="C14" s="40"/>
      <c r="D14" s="157">
        <f t="shared" si="0"/>
        <v>0</v>
      </c>
      <c r="E14" s="41"/>
      <c r="F14" s="227"/>
      <c r="G14" s="228"/>
      <c r="H14" s="229"/>
      <c r="I14" s="229"/>
      <c r="J14" s="229"/>
      <c r="K14" s="229"/>
    </row>
    <row r="15" spans="1:15" x14ac:dyDescent="0.2">
      <c r="A15" s="40"/>
      <c r="B15" s="40"/>
      <c r="C15" s="40"/>
      <c r="D15" s="157">
        <f t="shared" si="0"/>
        <v>0</v>
      </c>
      <c r="E15" s="41"/>
      <c r="F15" s="230"/>
      <c r="G15" s="228"/>
      <c r="H15" s="229"/>
      <c r="I15" s="229"/>
      <c r="J15" s="229"/>
      <c r="K15" s="229"/>
    </row>
    <row r="16" spans="1:15" x14ac:dyDescent="0.2">
      <c r="A16" s="40"/>
      <c r="B16" s="40"/>
      <c r="C16" s="40"/>
      <c r="D16" s="157">
        <f t="shared" si="0"/>
        <v>0</v>
      </c>
      <c r="E16" s="41"/>
      <c r="F16" s="230"/>
      <c r="G16" s="228"/>
      <c r="H16" s="229"/>
      <c r="I16" s="229"/>
      <c r="J16" s="229"/>
      <c r="K16" s="229"/>
    </row>
    <row r="17" spans="1:11" x14ac:dyDescent="0.2">
      <c r="A17" s="40"/>
      <c r="B17" s="40"/>
      <c r="C17" s="40"/>
      <c r="D17" s="157">
        <f t="shared" si="0"/>
        <v>0</v>
      </c>
      <c r="E17" s="41"/>
      <c r="F17" s="230"/>
      <c r="G17" s="228"/>
      <c r="H17" s="229"/>
      <c r="I17" s="229"/>
      <c r="J17" s="229"/>
      <c r="K17" s="229"/>
    </row>
    <row r="18" spans="1:11" x14ac:dyDescent="0.2">
      <c r="A18" s="40"/>
      <c r="B18" s="40"/>
      <c r="C18" s="40"/>
      <c r="D18" s="157">
        <f t="shared" si="0"/>
        <v>0</v>
      </c>
      <c r="E18" s="41"/>
      <c r="F18" s="230"/>
      <c r="G18" s="228"/>
      <c r="H18" s="229"/>
      <c r="I18" s="229"/>
      <c r="J18" s="229"/>
      <c r="K18" s="229"/>
    </row>
    <row r="19" spans="1:11" x14ac:dyDescent="0.2">
      <c r="A19" s="40"/>
      <c r="B19" s="40"/>
      <c r="C19" s="40"/>
      <c r="D19" s="157">
        <f t="shared" si="0"/>
        <v>0</v>
      </c>
      <c r="E19" s="109"/>
      <c r="F19" s="230"/>
      <c r="G19" s="228"/>
      <c r="H19" s="229"/>
      <c r="I19" s="229"/>
      <c r="J19" s="229"/>
      <c r="K19" s="229"/>
    </row>
    <row r="20" spans="1:11" x14ac:dyDescent="0.2">
      <c r="A20" s="40"/>
      <c r="B20" s="40"/>
      <c r="C20" s="40"/>
      <c r="D20" s="157">
        <f t="shared" si="0"/>
        <v>0</v>
      </c>
      <c r="E20" s="41"/>
      <c r="F20" s="230"/>
      <c r="G20" s="228"/>
      <c r="H20" s="229"/>
      <c r="I20" s="229"/>
      <c r="J20" s="229"/>
      <c r="K20" s="229"/>
    </row>
    <row r="21" spans="1:11" x14ac:dyDescent="0.2">
      <c r="A21" s="40"/>
      <c r="B21" s="40"/>
      <c r="C21" s="40"/>
      <c r="D21" s="157">
        <f t="shared" si="0"/>
        <v>0</v>
      </c>
      <c r="E21" s="41"/>
      <c r="F21" s="230"/>
      <c r="G21" s="228"/>
      <c r="H21" s="229"/>
      <c r="I21" s="229"/>
      <c r="J21" s="229"/>
      <c r="K21" s="229"/>
    </row>
    <row r="22" spans="1:11" x14ac:dyDescent="0.2">
      <c r="A22" s="40"/>
      <c r="B22" s="40"/>
      <c r="C22" s="40"/>
      <c r="D22" s="157">
        <f t="shared" si="0"/>
        <v>0</v>
      </c>
      <c r="E22" s="41"/>
      <c r="F22" s="230"/>
      <c r="G22" s="228"/>
      <c r="H22" s="229"/>
      <c r="I22" s="229"/>
      <c r="J22" s="229"/>
      <c r="K22" s="229"/>
    </row>
    <row r="23" spans="1:11" x14ac:dyDescent="0.2">
      <c r="A23" s="40"/>
      <c r="B23" s="40"/>
      <c r="C23" s="40"/>
      <c r="D23" s="157">
        <f t="shared" si="0"/>
        <v>0</v>
      </c>
      <c r="E23" s="41"/>
      <c r="F23" s="230"/>
      <c r="G23" s="228"/>
      <c r="H23" s="229"/>
      <c r="I23" s="229"/>
      <c r="J23" s="229"/>
      <c r="K23" s="229"/>
    </row>
    <row r="24" spans="1:11" x14ac:dyDescent="0.2">
      <c r="A24" s="40"/>
      <c r="B24" s="40"/>
      <c r="C24" s="40"/>
      <c r="D24" s="157">
        <f t="shared" si="0"/>
        <v>0</v>
      </c>
      <c r="E24" s="41"/>
      <c r="F24" s="230"/>
      <c r="G24" s="228"/>
      <c r="H24" s="229"/>
      <c r="I24" s="229"/>
      <c r="J24" s="229"/>
      <c r="K24" s="229"/>
    </row>
    <row r="25" spans="1:11" x14ac:dyDescent="0.2">
      <c r="A25" s="40"/>
      <c r="B25" s="40"/>
      <c r="C25" s="40"/>
      <c r="D25" s="157">
        <f t="shared" si="0"/>
        <v>0</v>
      </c>
      <c r="E25" s="41"/>
      <c r="F25" s="230"/>
      <c r="G25" s="228"/>
      <c r="H25" s="229"/>
      <c r="I25" s="229"/>
      <c r="J25" s="229"/>
      <c r="K25" s="229"/>
    </row>
    <row r="26" spans="1:11" x14ac:dyDescent="0.2">
      <c r="A26" s="40"/>
      <c r="B26" s="40"/>
      <c r="C26" s="40"/>
      <c r="D26" s="157">
        <f t="shared" si="0"/>
        <v>0</v>
      </c>
      <c r="E26" s="41"/>
      <c r="F26" s="230"/>
      <c r="G26" s="228"/>
      <c r="H26" s="229"/>
      <c r="I26" s="229"/>
      <c r="J26" s="229"/>
      <c r="K26" s="229"/>
    </row>
    <row r="27" spans="1:11" x14ac:dyDescent="0.2">
      <c r="A27" s="40"/>
      <c r="B27" s="40"/>
      <c r="C27" s="40"/>
      <c r="D27" s="157">
        <f t="shared" si="0"/>
        <v>0</v>
      </c>
      <c r="E27" s="41"/>
      <c r="F27" s="230"/>
      <c r="G27" s="228"/>
      <c r="H27" s="229"/>
      <c r="I27" s="229"/>
      <c r="J27" s="229"/>
      <c r="K27" s="229"/>
    </row>
    <row r="28" spans="1:11" x14ac:dyDescent="0.2">
      <c r="A28" s="40"/>
      <c r="B28" s="40"/>
      <c r="C28" s="40"/>
      <c r="D28" s="157">
        <f t="shared" si="0"/>
        <v>0</v>
      </c>
      <c r="E28" s="41"/>
      <c r="F28" s="230"/>
      <c r="G28" s="228"/>
      <c r="H28" s="229"/>
      <c r="I28" s="229"/>
      <c r="J28" s="229"/>
      <c r="K28" s="229"/>
    </row>
    <row r="29" spans="1:11" x14ac:dyDescent="0.2">
      <c r="A29" s="40"/>
      <c r="B29" s="40"/>
      <c r="C29" s="40"/>
      <c r="D29" s="157">
        <f t="shared" si="0"/>
        <v>0</v>
      </c>
      <c r="E29" s="41"/>
      <c r="F29" s="230"/>
      <c r="G29" s="228"/>
      <c r="H29" s="229"/>
      <c r="I29" s="229"/>
      <c r="J29" s="229"/>
      <c r="K29" s="229"/>
    </row>
    <row r="30" spans="1:11" x14ac:dyDescent="0.2">
      <c r="A30" s="40"/>
      <c r="B30" s="40"/>
      <c r="C30" s="40"/>
      <c r="D30" s="157">
        <f t="shared" si="0"/>
        <v>0</v>
      </c>
      <c r="E30" s="41"/>
      <c r="F30" s="230"/>
      <c r="G30" s="228"/>
      <c r="H30" s="229"/>
      <c r="I30" s="229"/>
      <c r="J30" s="229"/>
      <c r="K30" s="229"/>
    </row>
    <row r="31" spans="1:11" x14ac:dyDescent="0.2">
      <c r="A31" s="40"/>
      <c r="B31" s="40"/>
      <c r="C31" s="40"/>
      <c r="D31" s="157">
        <f t="shared" si="0"/>
        <v>0</v>
      </c>
      <c r="E31" s="41"/>
      <c r="F31" s="230"/>
      <c r="G31" s="228"/>
      <c r="H31" s="229"/>
      <c r="I31" s="229"/>
      <c r="J31" s="229"/>
      <c r="K31" s="229"/>
    </row>
    <row r="32" spans="1:11" x14ac:dyDescent="0.2">
      <c r="A32" s="40"/>
      <c r="B32" s="40"/>
      <c r="C32" s="40"/>
      <c r="D32" s="157">
        <f t="shared" si="0"/>
        <v>0</v>
      </c>
      <c r="E32" s="41"/>
      <c r="F32" s="230"/>
      <c r="G32" s="228"/>
      <c r="H32" s="229"/>
      <c r="I32" s="229"/>
      <c r="J32" s="229"/>
      <c r="K32" s="229"/>
    </row>
    <row r="33" spans="1:11" x14ac:dyDescent="0.2">
      <c r="A33" s="40"/>
      <c r="B33" s="40"/>
      <c r="C33" s="40"/>
      <c r="D33" s="157">
        <f t="shared" si="0"/>
        <v>0</v>
      </c>
      <c r="E33" s="41"/>
      <c r="F33" s="230"/>
      <c r="G33" s="228"/>
      <c r="H33" s="229"/>
      <c r="I33" s="229"/>
      <c r="J33" s="229"/>
      <c r="K33" s="229"/>
    </row>
    <row r="34" spans="1:11" x14ac:dyDescent="0.2">
      <c r="A34" s="40"/>
      <c r="B34" s="40"/>
      <c r="C34" s="40"/>
      <c r="D34" s="157">
        <f t="shared" si="0"/>
        <v>0</v>
      </c>
      <c r="E34" s="41"/>
      <c r="F34" s="230"/>
      <c r="G34" s="228"/>
      <c r="H34" s="229"/>
      <c r="I34" s="229"/>
      <c r="J34" s="229"/>
      <c r="K34" s="229"/>
    </row>
    <row r="35" spans="1:11" x14ac:dyDescent="0.2">
      <c r="A35" s="40"/>
      <c r="B35" s="40"/>
      <c r="C35" s="40"/>
      <c r="D35" s="157">
        <f t="shared" si="0"/>
        <v>0</v>
      </c>
      <c r="E35" s="41"/>
      <c r="F35" s="230"/>
      <c r="G35" s="228"/>
      <c r="H35" s="229"/>
      <c r="I35" s="229"/>
      <c r="J35" s="229"/>
      <c r="K35" s="229"/>
    </row>
    <row r="36" spans="1:11" x14ac:dyDescent="0.2">
      <c r="A36" s="40"/>
      <c r="B36" s="40"/>
      <c r="C36" s="40"/>
      <c r="D36" s="157">
        <f t="shared" si="0"/>
        <v>0</v>
      </c>
      <c r="E36" s="41"/>
      <c r="F36" s="230"/>
      <c r="G36" s="228"/>
      <c r="H36" s="229"/>
      <c r="I36" s="229"/>
      <c r="J36" s="229"/>
      <c r="K36" s="229"/>
    </row>
    <row r="37" spans="1:11" x14ac:dyDescent="0.2">
      <c r="A37" s="40"/>
      <c r="B37" s="40"/>
      <c r="C37" s="40"/>
      <c r="D37" s="157">
        <f t="shared" si="0"/>
        <v>0</v>
      </c>
      <c r="E37" s="41"/>
      <c r="F37" s="230"/>
      <c r="G37" s="228"/>
      <c r="H37" s="229"/>
      <c r="I37" s="229"/>
      <c r="J37" s="229"/>
      <c r="K37" s="229"/>
    </row>
    <row r="38" spans="1:11" x14ac:dyDescent="0.2">
      <c r="A38" s="40"/>
      <c r="B38" s="40"/>
      <c r="C38" s="40"/>
      <c r="D38" s="157">
        <f t="shared" si="0"/>
        <v>0</v>
      </c>
      <c r="E38" s="41"/>
      <c r="F38" s="230"/>
      <c r="G38" s="228"/>
      <c r="H38" s="229"/>
      <c r="I38" s="229"/>
      <c r="J38" s="229"/>
      <c r="K38" s="229"/>
    </row>
    <row r="39" spans="1:11" x14ac:dyDescent="0.2">
      <c r="A39" s="40"/>
      <c r="B39" s="40"/>
      <c r="C39" s="40"/>
      <c r="D39" s="157">
        <f t="shared" si="0"/>
        <v>0</v>
      </c>
      <c r="E39" s="41"/>
      <c r="F39" s="230"/>
      <c r="G39" s="228"/>
      <c r="H39" s="229"/>
      <c r="I39" s="229"/>
      <c r="J39" s="229"/>
      <c r="K39" s="229"/>
    </row>
    <row r="40" spans="1:11" x14ac:dyDescent="0.2">
      <c r="A40" s="40"/>
      <c r="B40" s="40"/>
      <c r="C40" s="40"/>
      <c r="D40" s="157">
        <f t="shared" si="0"/>
        <v>0</v>
      </c>
      <c r="E40" s="41"/>
      <c r="F40" s="230"/>
      <c r="G40" s="228"/>
      <c r="H40" s="229"/>
      <c r="I40" s="229"/>
      <c r="J40" s="229"/>
      <c r="K40" s="229"/>
    </row>
    <row r="41" spans="1:11" x14ac:dyDescent="0.2">
      <c r="A41" s="40"/>
      <c r="B41" s="40"/>
      <c r="C41" s="40"/>
      <c r="D41" s="157">
        <f t="shared" si="0"/>
        <v>0</v>
      </c>
      <c r="E41" s="41"/>
      <c r="F41" s="230"/>
      <c r="G41" s="228"/>
      <c r="H41" s="229"/>
      <c r="I41" s="229"/>
      <c r="J41" s="229"/>
      <c r="K41" s="229"/>
    </row>
    <row r="42" spans="1:11" x14ac:dyDescent="0.2">
      <c r="A42" s="40"/>
      <c r="B42" s="40"/>
      <c r="C42" s="40"/>
      <c r="D42" s="157">
        <f t="shared" si="0"/>
        <v>0</v>
      </c>
      <c r="E42" s="41"/>
      <c r="F42" s="230"/>
      <c r="G42" s="228"/>
      <c r="H42" s="229"/>
      <c r="I42" s="229"/>
      <c r="J42" s="229"/>
      <c r="K42" s="229"/>
    </row>
    <row r="43" spans="1:11" x14ac:dyDescent="0.2">
      <c r="A43" s="40"/>
      <c r="B43" s="40"/>
      <c r="C43" s="40"/>
      <c r="D43" s="157">
        <f t="shared" si="0"/>
        <v>0</v>
      </c>
      <c r="E43" s="41"/>
      <c r="F43" s="230"/>
      <c r="G43" s="228"/>
      <c r="H43" s="229"/>
      <c r="I43" s="229"/>
      <c r="J43" s="229"/>
      <c r="K43" s="229"/>
    </row>
    <row r="44" spans="1:11" x14ac:dyDescent="0.2">
      <c r="A44" s="40"/>
      <c r="B44" s="40"/>
      <c r="C44" s="40"/>
      <c r="D44" s="157">
        <f t="shared" si="0"/>
        <v>0</v>
      </c>
      <c r="E44" s="41"/>
      <c r="F44" s="230"/>
      <c r="G44" s="228"/>
      <c r="H44" s="229"/>
      <c r="I44" s="229"/>
      <c r="J44" s="229"/>
      <c r="K44" s="229"/>
    </row>
    <row r="45" spans="1:11" x14ac:dyDescent="0.2">
      <c r="A45" s="40"/>
      <c r="B45" s="40"/>
      <c r="C45" s="40"/>
      <c r="D45" s="157">
        <f t="shared" si="0"/>
        <v>0</v>
      </c>
      <c r="E45" s="41"/>
      <c r="F45" s="230"/>
      <c r="G45" s="228"/>
      <c r="H45" s="229"/>
      <c r="I45" s="229"/>
      <c r="J45" s="229"/>
      <c r="K45" s="229"/>
    </row>
    <row r="46" spans="1:11" x14ac:dyDescent="0.2">
      <c r="A46" s="40"/>
      <c r="B46" s="40"/>
      <c r="C46" s="40"/>
      <c r="D46" s="157">
        <f t="shared" si="0"/>
        <v>0</v>
      </c>
      <c r="E46" s="41"/>
      <c r="F46" s="230"/>
      <c r="G46" s="228"/>
      <c r="H46" s="229"/>
      <c r="I46" s="229"/>
      <c r="J46" s="229"/>
      <c r="K46" s="229"/>
    </row>
    <row r="47" spans="1:11" x14ac:dyDescent="0.2">
      <c r="A47" s="40"/>
      <c r="B47" s="40"/>
      <c r="C47" s="40"/>
      <c r="D47" s="157">
        <f t="shared" si="0"/>
        <v>0</v>
      </c>
      <c r="E47" s="41"/>
      <c r="F47" s="230"/>
      <c r="G47" s="228"/>
      <c r="H47" s="229"/>
      <c r="I47" s="229"/>
      <c r="J47" s="229"/>
      <c r="K47" s="229"/>
    </row>
    <row r="48" spans="1:11" x14ac:dyDescent="0.2">
      <c r="A48" s="40"/>
      <c r="B48" s="40"/>
      <c r="C48" s="40"/>
      <c r="D48" s="157">
        <f t="shared" si="0"/>
        <v>0</v>
      </c>
      <c r="E48" s="41"/>
      <c r="F48" s="230"/>
      <c r="G48" s="228"/>
      <c r="H48" s="229"/>
      <c r="I48" s="229"/>
      <c r="J48" s="229"/>
      <c r="K48" s="229"/>
    </row>
    <row r="49" spans="1:11" x14ac:dyDescent="0.2">
      <c r="A49" s="40"/>
      <c r="B49" s="40"/>
      <c r="C49" s="40"/>
      <c r="D49" s="157">
        <f t="shared" si="0"/>
        <v>0</v>
      </c>
      <c r="E49" s="41"/>
      <c r="F49" s="230"/>
      <c r="G49" s="228"/>
      <c r="H49" s="229"/>
      <c r="I49" s="229"/>
      <c r="J49" s="229"/>
      <c r="K49" s="229"/>
    </row>
    <row r="50" spans="1:11" x14ac:dyDescent="0.2">
      <c r="A50" s="40"/>
      <c r="B50" s="40"/>
      <c r="C50" s="40"/>
      <c r="D50" s="157">
        <f t="shared" si="0"/>
        <v>0</v>
      </c>
      <c r="E50" s="41"/>
      <c r="F50" s="230"/>
      <c r="G50" s="228"/>
      <c r="H50" s="229"/>
      <c r="I50" s="229"/>
      <c r="J50" s="229"/>
      <c r="K50" s="229"/>
    </row>
    <row r="51" spans="1:11" x14ac:dyDescent="0.2">
      <c r="A51" s="40"/>
      <c r="B51" s="40"/>
      <c r="C51" s="40"/>
      <c r="D51" s="157">
        <f t="shared" si="0"/>
        <v>0</v>
      </c>
      <c r="E51" s="41"/>
      <c r="F51" s="230"/>
      <c r="G51" s="228"/>
      <c r="H51" s="229"/>
      <c r="I51" s="229"/>
      <c r="J51" s="229"/>
      <c r="K51" s="229"/>
    </row>
    <row r="52" spans="1:11" x14ac:dyDescent="0.2">
      <c r="A52" s="40"/>
      <c r="B52" s="40"/>
      <c r="C52" s="40"/>
      <c r="D52" s="157">
        <f t="shared" si="0"/>
        <v>0</v>
      </c>
      <c r="E52" s="41"/>
      <c r="F52" s="230"/>
      <c r="G52" s="228"/>
      <c r="H52" s="229"/>
      <c r="I52" s="229"/>
      <c r="J52" s="229"/>
      <c r="K52" s="229"/>
    </row>
    <row r="53" spans="1:11" x14ac:dyDescent="0.2">
      <c r="A53" s="40"/>
      <c r="B53" s="40"/>
      <c r="C53" s="40"/>
      <c r="D53" s="157">
        <f t="shared" si="0"/>
        <v>0</v>
      </c>
      <c r="E53" s="41"/>
      <c r="F53" s="230"/>
      <c r="G53" s="228"/>
      <c r="H53" s="229"/>
      <c r="I53" s="229"/>
      <c r="J53" s="229"/>
      <c r="K53" s="229"/>
    </row>
    <row r="54" spans="1:11" x14ac:dyDescent="0.2">
      <c r="A54" s="40"/>
      <c r="B54" s="40"/>
      <c r="C54" s="40"/>
      <c r="D54" s="157">
        <f t="shared" si="0"/>
        <v>0</v>
      </c>
      <c r="E54" s="41"/>
      <c r="F54" s="230"/>
      <c r="G54" s="228"/>
      <c r="H54" s="229"/>
      <c r="I54" s="229"/>
      <c r="J54" s="229"/>
      <c r="K54" s="229"/>
    </row>
    <row r="55" spans="1:11" x14ac:dyDescent="0.2">
      <c r="A55" s="40"/>
      <c r="B55" s="40"/>
      <c r="C55" s="40"/>
      <c r="D55" s="157">
        <f t="shared" si="0"/>
        <v>0</v>
      </c>
      <c r="E55" s="41"/>
      <c r="F55" s="230"/>
      <c r="G55" s="228"/>
      <c r="H55" s="229"/>
      <c r="I55" s="229"/>
      <c r="J55" s="229"/>
      <c r="K55" s="229"/>
    </row>
    <row r="56" spans="1:11" x14ac:dyDescent="0.2">
      <c r="A56" s="40"/>
      <c r="B56" s="40"/>
      <c r="C56" s="40"/>
      <c r="D56" s="157">
        <f t="shared" si="0"/>
        <v>0</v>
      </c>
      <c r="E56" s="41"/>
      <c r="F56" s="230"/>
      <c r="G56" s="228"/>
      <c r="H56" s="229"/>
      <c r="I56" s="229"/>
      <c r="J56" s="229"/>
      <c r="K56" s="229"/>
    </row>
    <row r="57" spans="1:11" x14ac:dyDescent="0.2">
      <c r="A57" s="40"/>
      <c r="B57" s="40"/>
      <c r="C57" s="40"/>
      <c r="D57" s="157">
        <f t="shared" si="0"/>
        <v>0</v>
      </c>
      <c r="E57" s="41"/>
      <c r="F57" s="230"/>
      <c r="G57" s="228"/>
      <c r="H57" s="229"/>
      <c r="I57" s="229"/>
      <c r="J57" s="229"/>
      <c r="K57" s="229"/>
    </row>
    <row r="58" spans="1:11" x14ac:dyDescent="0.2">
      <c r="A58" s="40"/>
      <c r="B58" s="40"/>
      <c r="C58" s="40"/>
      <c r="D58" s="157">
        <f t="shared" si="0"/>
        <v>0</v>
      </c>
      <c r="E58" s="41"/>
      <c r="F58" s="230"/>
      <c r="G58" s="228"/>
      <c r="H58" s="229"/>
      <c r="I58" s="229"/>
      <c r="J58" s="229"/>
      <c r="K58" s="229"/>
    </row>
    <row r="59" spans="1:11" x14ac:dyDescent="0.2">
      <c r="A59" s="40"/>
      <c r="B59" s="40"/>
      <c r="C59" s="40"/>
      <c r="D59" s="157">
        <f t="shared" si="0"/>
        <v>0</v>
      </c>
      <c r="E59" s="41"/>
      <c r="F59" s="230"/>
      <c r="G59" s="228"/>
      <c r="H59" s="229"/>
      <c r="I59" s="229"/>
      <c r="J59" s="229"/>
      <c r="K59" s="229"/>
    </row>
    <row r="60" spans="1:11" x14ac:dyDescent="0.2">
      <c r="A60" s="40"/>
      <c r="B60" s="40"/>
      <c r="C60" s="40"/>
      <c r="D60" s="157">
        <f t="shared" si="0"/>
        <v>0</v>
      </c>
      <c r="E60" s="41"/>
      <c r="F60" s="230"/>
      <c r="G60" s="228"/>
      <c r="H60" s="229"/>
      <c r="I60" s="229"/>
      <c r="J60" s="229"/>
      <c r="K60" s="229"/>
    </row>
    <row r="61" spans="1:11" x14ac:dyDescent="0.2">
      <c r="A61" s="40"/>
      <c r="B61" s="40"/>
      <c r="C61" s="40"/>
      <c r="D61" s="157">
        <f t="shared" si="0"/>
        <v>0</v>
      </c>
      <c r="E61" s="41"/>
      <c r="F61" s="230"/>
      <c r="G61" s="228"/>
      <c r="H61" s="229"/>
      <c r="I61" s="229"/>
      <c r="J61" s="229"/>
      <c r="K61" s="229"/>
    </row>
    <row r="62" spans="1:11" x14ac:dyDescent="0.2">
      <c r="A62" s="40"/>
      <c r="B62" s="40"/>
      <c r="C62" s="40"/>
      <c r="D62" s="157">
        <f t="shared" si="0"/>
        <v>0</v>
      </c>
      <c r="E62" s="41"/>
      <c r="F62" s="230"/>
      <c r="G62" s="228"/>
      <c r="H62" s="229"/>
      <c r="I62" s="229"/>
      <c r="J62" s="229"/>
      <c r="K62" s="229"/>
    </row>
    <row r="63" spans="1:11" x14ac:dyDescent="0.2">
      <c r="A63" s="40"/>
      <c r="B63" s="40"/>
      <c r="C63" s="40"/>
      <c r="D63" s="157">
        <f t="shared" si="0"/>
        <v>0</v>
      </c>
      <c r="E63" s="41"/>
      <c r="F63" s="230"/>
      <c r="G63" s="228"/>
      <c r="H63" s="229"/>
      <c r="I63" s="229"/>
      <c r="J63" s="229"/>
      <c r="K63" s="229"/>
    </row>
    <row r="64" spans="1:11" x14ac:dyDescent="0.2">
      <c r="A64" s="40"/>
      <c r="B64" s="40"/>
      <c r="C64" s="40"/>
      <c r="D64" s="157">
        <f t="shared" si="0"/>
        <v>0</v>
      </c>
      <c r="E64" s="41"/>
      <c r="F64" s="230"/>
      <c r="G64" s="228"/>
      <c r="H64" s="229"/>
      <c r="I64" s="229"/>
      <c r="J64" s="229"/>
      <c r="K64" s="229"/>
    </row>
    <row r="65" spans="1:11" x14ac:dyDescent="0.2">
      <c r="A65" s="40"/>
      <c r="B65" s="40"/>
      <c r="C65" s="40"/>
      <c r="D65" s="157">
        <f t="shared" si="0"/>
        <v>0</v>
      </c>
      <c r="E65" s="41"/>
      <c r="F65" s="230"/>
      <c r="G65" s="228"/>
      <c r="H65" s="229"/>
      <c r="I65" s="229"/>
      <c r="J65" s="229"/>
      <c r="K65" s="229"/>
    </row>
    <row r="66" spans="1:11" x14ac:dyDescent="0.2">
      <c r="A66" s="40"/>
      <c r="B66" s="40"/>
      <c r="C66" s="40"/>
      <c r="D66" s="157">
        <f t="shared" si="0"/>
        <v>0</v>
      </c>
      <c r="E66" s="41"/>
      <c r="F66" s="230"/>
      <c r="G66" s="228"/>
      <c r="H66" s="229"/>
      <c r="I66" s="229"/>
      <c r="J66" s="229"/>
      <c r="K66" s="229"/>
    </row>
    <row r="67" spans="1:11" x14ac:dyDescent="0.2">
      <c r="A67" s="40"/>
      <c r="B67" s="40"/>
      <c r="C67" s="40"/>
      <c r="D67" s="157">
        <f t="shared" si="0"/>
        <v>0</v>
      </c>
      <c r="E67" s="41"/>
      <c r="F67" s="230"/>
      <c r="G67" s="228"/>
      <c r="H67" s="229"/>
      <c r="I67" s="229"/>
      <c r="J67" s="229"/>
      <c r="K67" s="229"/>
    </row>
    <row r="68" spans="1:11" x14ac:dyDescent="0.2">
      <c r="A68" s="40"/>
      <c r="B68" s="40"/>
      <c r="C68" s="40"/>
      <c r="D68" s="157">
        <f t="shared" si="0"/>
        <v>0</v>
      </c>
      <c r="E68" s="41"/>
      <c r="F68" s="230"/>
      <c r="G68" s="228"/>
      <c r="H68" s="229"/>
      <c r="I68" s="229"/>
      <c r="J68" s="229"/>
      <c r="K68" s="229"/>
    </row>
    <row r="69" spans="1:11" x14ac:dyDescent="0.2">
      <c r="A69" s="40"/>
      <c r="B69" s="40"/>
      <c r="C69" s="40"/>
      <c r="D69" s="157">
        <f t="shared" si="0"/>
        <v>0</v>
      </c>
      <c r="E69" s="41"/>
      <c r="F69" s="230"/>
      <c r="G69" s="228"/>
      <c r="H69" s="229"/>
      <c r="I69" s="229"/>
      <c r="J69" s="229"/>
      <c r="K69" s="229"/>
    </row>
    <row r="70" spans="1:11" x14ac:dyDescent="0.2">
      <c r="A70" s="40"/>
      <c r="B70" s="40"/>
      <c r="C70" s="40"/>
      <c r="D70" s="157">
        <f t="shared" si="0"/>
        <v>0</v>
      </c>
      <c r="E70" s="41"/>
      <c r="F70" s="230"/>
      <c r="G70" s="228"/>
      <c r="H70" s="229"/>
      <c r="I70" s="229"/>
      <c r="J70" s="229"/>
      <c r="K70" s="229"/>
    </row>
    <row r="71" spans="1:11" x14ac:dyDescent="0.2">
      <c r="A71" s="40"/>
      <c r="B71" s="40"/>
      <c r="C71" s="40"/>
      <c r="D71" s="157">
        <f t="shared" si="0"/>
        <v>0</v>
      </c>
      <c r="E71" s="41"/>
      <c r="F71" s="230"/>
      <c r="G71" s="228"/>
      <c r="H71" s="229"/>
      <c r="I71" s="229"/>
      <c r="J71" s="229"/>
      <c r="K71" s="229"/>
    </row>
    <row r="72" spans="1:11" x14ac:dyDescent="0.2">
      <c r="A72" s="40"/>
      <c r="B72" s="40"/>
      <c r="C72" s="40"/>
      <c r="D72" s="157">
        <f t="shared" si="0"/>
        <v>0</v>
      </c>
      <c r="E72" s="41"/>
      <c r="F72" s="230"/>
      <c r="G72" s="228"/>
      <c r="H72" s="229"/>
      <c r="I72" s="229"/>
      <c r="J72" s="229"/>
      <c r="K72" s="229"/>
    </row>
    <row r="73" spans="1:11" x14ac:dyDescent="0.2">
      <c r="A73" s="40"/>
      <c r="B73" s="40"/>
      <c r="C73" s="40"/>
      <c r="D73" s="157">
        <f t="shared" si="0"/>
        <v>0</v>
      </c>
      <c r="E73" s="41"/>
      <c r="F73" s="230"/>
      <c r="G73" s="228"/>
      <c r="H73" s="229"/>
      <c r="I73" s="229"/>
      <c r="J73" s="229"/>
      <c r="K73" s="229"/>
    </row>
    <row r="74" spans="1:11" x14ac:dyDescent="0.2">
      <c r="A74" s="40"/>
      <c r="B74" s="40"/>
      <c r="C74" s="40"/>
      <c r="D74" s="157">
        <f t="shared" si="0"/>
        <v>0</v>
      </c>
      <c r="E74" s="41"/>
      <c r="F74" s="230"/>
      <c r="G74" s="228"/>
      <c r="H74" s="229"/>
      <c r="I74" s="229"/>
      <c r="J74" s="229"/>
      <c r="K74" s="229"/>
    </row>
    <row r="75" spans="1:11" x14ac:dyDescent="0.2">
      <c r="A75" s="40"/>
      <c r="B75" s="40"/>
      <c r="C75" s="40"/>
      <c r="D75" s="157">
        <f t="shared" si="0"/>
        <v>0</v>
      </c>
      <c r="E75" s="41"/>
      <c r="F75" s="230"/>
      <c r="G75" s="228"/>
      <c r="H75" s="229"/>
      <c r="I75" s="229"/>
      <c r="J75" s="229"/>
      <c r="K75" s="229"/>
    </row>
    <row r="76" spans="1:11" x14ac:dyDescent="0.2">
      <c r="A76" s="40"/>
      <c r="B76" s="40"/>
      <c r="C76" s="40"/>
      <c r="D76" s="157">
        <f t="shared" si="0"/>
        <v>0</v>
      </c>
      <c r="E76" s="41"/>
      <c r="F76" s="230"/>
      <c r="G76" s="228"/>
      <c r="H76" s="229"/>
      <c r="I76" s="229"/>
      <c r="J76" s="229"/>
      <c r="K76" s="229"/>
    </row>
    <row r="77" spans="1:11" x14ac:dyDescent="0.2">
      <c r="A77" s="40"/>
      <c r="B77" s="40"/>
      <c r="C77" s="40"/>
      <c r="D77" s="157">
        <f t="shared" si="0"/>
        <v>0</v>
      </c>
      <c r="E77" s="41"/>
      <c r="F77" s="230"/>
      <c r="G77" s="228"/>
      <c r="H77" s="229"/>
      <c r="I77" s="229"/>
      <c r="J77" s="229"/>
      <c r="K77" s="229"/>
    </row>
    <row r="78" spans="1:11" x14ac:dyDescent="0.2">
      <c r="A78" s="40"/>
      <c r="B78" s="40"/>
      <c r="C78" s="40"/>
      <c r="D78" s="157">
        <f t="shared" si="0"/>
        <v>0</v>
      </c>
      <c r="E78" s="41"/>
      <c r="F78" s="230"/>
      <c r="G78" s="228"/>
      <c r="H78" s="229"/>
      <c r="I78" s="229"/>
      <c r="J78" s="229"/>
      <c r="K78" s="229"/>
    </row>
    <row r="79" spans="1:11" x14ac:dyDescent="0.2">
      <c r="A79" s="40"/>
      <c r="B79" s="40"/>
      <c r="C79" s="40"/>
      <c r="D79" s="157">
        <f t="shared" si="0"/>
        <v>0</v>
      </c>
      <c r="E79" s="41"/>
      <c r="F79" s="230"/>
      <c r="G79" s="228"/>
      <c r="H79" s="229"/>
      <c r="I79" s="229"/>
      <c r="J79" s="229"/>
      <c r="K79" s="229"/>
    </row>
    <row r="80" spans="1:11" x14ac:dyDescent="0.2">
      <c r="A80" s="40"/>
      <c r="B80" s="40"/>
      <c r="C80" s="40"/>
      <c r="D80" s="157">
        <f t="shared" si="0"/>
        <v>0</v>
      </c>
      <c r="E80" s="41"/>
      <c r="F80" s="230"/>
      <c r="G80" s="228"/>
      <c r="H80" s="229"/>
      <c r="I80" s="229"/>
      <c r="J80" s="229"/>
      <c r="K80" s="229"/>
    </row>
    <row r="81" spans="1:11" x14ac:dyDescent="0.2">
      <c r="A81" s="40"/>
      <c r="B81" s="40"/>
      <c r="C81" s="40"/>
      <c r="D81" s="157">
        <f t="shared" si="0"/>
        <v>0</v>
      </c>
      <c r="E81" s="41"/>
      <c r="F81" s="230"/>
      <c r="G81" s="228"/>
      <c r="H81" s="229"/>
      <c r="I81" s="229"/>
      <c r="J81" s="229"/>
      <c r="K81" s="229"/>
    </row>
    <row r="82" spans="1:11" x14ac:dyDescent="0.2">
      <c r="A82" s="40"/>
      <c r="B82" s="40"/>
      <c r="C82" s="40"/>
      <c r="D82" s="157">
        <f t="shared" si="0"/>
        <v>0</v>
      </c>
      <c r="E82" s="41"/>
      <c r="F82" s="230"/>
      <c r="G82" s="228"/>
      <c r="H82" s="229"/>
      <c r="I82" s="229"/>
      <c r="J82" s="229"/>
      <c r="K82" s="229"/>
    </row>
    <row r="83" spans="1:11" x14ac:dyDescent="0.2">
      <c r="A83" s="40"/>
      <c r="B83" s="40"/>
      <c r="C83" s="40"/>
      <c r="D83" s="157">
        <f t="shared" si="0"/>
        <v>0</v>
      </c>
      <c r="E83" s="41"/>
      <c r="F83" s="230"/>
      <c r="G83" s="228"/>
      <c r="H83" s="229"/>
      <c r="I83" s="229"/>
      <c r="J83" s="229"/>
      <c r="K83" s="229"/>
    </row>
    <row r="84" spans="1:11" x14ac:dyDescent="0.2">
      <c r="A84" s="40"/>
      <c r="B84" s="40"/>
      <c r="C84" s="40"/>
      <c r="D84" s="157">
        <f t="shared" si="0"/>
        <v>0</v>
      </c>
      <c r="E84" s="41"/>
      <c r="F84" s="230"/>
      <c r="G84" s="228"/>
      <c r="H84" s="229"/>
      <c r="I84" s="229"/>
      <c r="J84" s="229"/>
      <c r="K84" s="229"/>
    </row>
    <row r="85" spans="1:11" x14ac:dyDescent="0.2">
      <c r="A85" s="40"/>
      <c r="B85" s="40"/>
      <c r="C85" s="40"/>
      <c r="D85" s="157">
        <f t="shared" si="0"/>
        <v>0</v>
      </c>
      <c r="E85" s="41"/>
      <c r="F85" s="230"/>
      <c r="G85" s="228"/>
      <c r="H85" s="229"/>
      <c r="I85" s="229"/>
      <c r="J85" s="229"/>
      <c r="K85" s="229"/>
    </row>
    <row r="86" spans="1:11" x14ac:dyDescent="0.2">
      <c r="A86" s="40"/>
      <c r="B86" s="40"/>
      <c r="C86" s="40"/>
      <c r="D86" s="157">
        <f t="shared" si="0"/>
        <v>0</v>
      </c>
      <c r="E86" s="41"/>
      <c r="F86" s="230"/>
      <c r="G86" s="228"/>
      <c r="H86" s="229"/>
      <c r="I86" s="229"/>
      <c r="J86" s="229"/>
      <c r="K86" s="229"/>
    </row>
    <row r="87" spans="1:11" x14ac:dyDescent="0.2">
      <c r="A87" s="40"/>
      <c r="B87" s="40"/>
      <c r="C87" s="40"/>
      <c r="D87" s="157">
        <f t="shared" si="0"/>
        <v>0</v>
      </c>
      <c r="E87" s="41"/>
      <c r="F87" s="230"/>
      <c r="G87" s="228"/>
      <c r="H87" s="229"/>
      <c r="I87" s="229"/>
      <c r="J87" s="229"/>
      <c r="K87" s="229"/>
    </row>
    <row r="88" spans="1:11" x14ac:dyDescent="0.2">
      <c r="A88" s="40"/>
      <c r="B88" s="40"/>
      <c r="C88" s="40"/>
      <c r="D88" s="157">
        <f t="shared" si="0"/>
        <v>0</v>
      </c>
      <c r="E88" s="41"/>
      <c r="F88" s="230"/>
      <c r="G88" s="228"/>
      <c r="H88" s="229"/>
      <c r="I88" s="229"/>
      <c r="J88" s="229"/>
      <c r="K88" s="229"/>
    </row>
    <row r="89" spans="1:11" x14ac:dyDescent="0.2">
      <c r="A89" s="40"/>
      <c r="B89" s="40"/>
      <c r="C89" s="40"/>
      <c r="D89" s="157">
        <f t="shared" si="0"/>
        <v>0</v>
      </c>
      <c r="E89" s="41"/>
      <c r="F89" s="230"/>
      <c r="G89" s="228"/>
      <c r="H89" s="229"/>
      <c r="I89" s="229"/>
      <c r="J89" s="229"/>
      <c r="K89" s="229"/>
    </row>
    <row r="90" spans="1:11" x14ac:dyDescent="0.2">
      <c r="A90" s="40"/>
      <c r="B90" s="40"/>
      <c r="C90" s="40"/>
      <c r="D90" s="157">
        <f t="shared" si="0"/>
        <v>0</v>
      </c>
      <c r="E90" s="41"/>
      <c r="F90" s="230"/>
      <c r="G90" s="228"/>
      <c r="H90" s="229"/>
      <c r="I90" s="229"/>
      <c r="J90" s="229"/>
      <c r="K90" s="229"/>
    </row>
    <row r="91" spans="1:11" x14ac:dyDescent="0.2">
      <c r="A91" s="40"/>
      <c r="B91" s="40"/>
      <c r="C91" s="40"/>
      <c r="D91" s="157">
        <f t="shared" si="0"/>
        <v>0</v>
      </c>
      <c r="E91" s="41"/>
      <c r="F91" s="230"/>
      <c r="G91" s="228"/>
      <c r="H91" s="229"/>
      <c r="I91" s="229"/>
      <c r="J91" s="229"/>
      <c r="K91" s="229"/>
    </row>
    <row r="92" spans="1:11" x14ac:dyDescent="0.2">
      <c r="A92" s="40"/>
      <c r="B92" s="40"/>
      <c r="C92" s="40"/>
      <c r="D92" s="157">
        <f t="shared" si="0"/>
        <v>0</v>
      </c>
      <c r="E92" s="41"/>
      <c r="F92" s="230"/>
      <c r="G92" s="228"/>
      <c r="H92" s="229"/>
      <c r="I92" s="229"/>
      <c r="J92" s="229"/>
      <c r="K92" s="229"/>
    </row>
    <row r="93" spans="1:11" x14ac:dyDescent="0.2">
      <c r="A93" s="40"/>
      <c r="B93" s="40"/>
      <c r="C93" s="40"/>
      <c r="D93" s="157">
        <f t="shared" si="0"/>
        <v>0</v>
      </c>
      <c r="E93" s="41"/>
      <c r="F93" s="230"/>
      <c r="G93" s="228"/>
      <c r="H93" s="229"/>
      <c r="I93" s="229"/>
      <c r="J93" s="229"/>
      <c r="K93" s="229"/>
    </row>
    <row r="94" spans="1:11" x14ac:dyDescent="0.2">
      <c r="A94" s="40"/>
      <c r="B94" s="40"/>
      <c r="C94" s="40"/>
      <c r="D94" s="157">
        <f t="shared" si="0"/>
        <v>0</v>
      </c>
      <c r="E94" s="41"/>
      <c r="F94" s="230"/>
      <c r="G94" s="228"/>
      <c r="H94" s="229"/>
      <c r="I94" s="229"/>
      <c r="J94" s="229"/>
      <c r="K94" s="229"/>
    </row>
    <row r="95" spans="1:11" x14ac:dyDescent="0.2">
      <c r="A95" s="40"/>
      <c r="B95" s="40"/>
      <c r="C95" s="40"/>
      <c r="D95" s="157">
        <f t="shared" si="0"/>
        <v>0</v>
      </c>
      <c r="E95" s="41"/>
      <c r="F95" s="230"/>
      <c r="G95" s="228"/>
      <c r="H95" s="229"/>
      <c r="I95" s="229"/>
      <c r="J95" s="229"/>
      <c r="K95" s="229"/>
    </row>
    <row r="96" spans="1:11" x14ac:dyDescent="0.2">
      <c r="A96" s="40"/>
      <c r="B96" s="40"/>
      <c r="C96" s="40"/>
      <c r="D96" s="157">
        <f t="shared" si="0"/>
        <v>0</v>
      </c>
      <c r="E96" s="41"/>
      <c r="F96" s="230"/>
      <c r="G96" s="228"/>
      <c r="H96" s="229"/>
      <c r="I96" s="229"/>
      <c r="J96" s="229"/>
      <c r="K96" s="229"/>
    </row>
    <row r="97" spans="1:11" x14ac:dyDescent="0.2">
      <c r="A97" s="40"/>
      <c r="B97" s="40"/>
      <c r="C97" s="40"/>
      <c r="D97" s="157">
        <f t="shared" si="0"/>
        <v>0</v>
      </c>
      <c r="E97" s="41"/>
      <c r="F97" s="230"/>
      <c r="G97" s="228"/>
      <c r="H97" s="229"/>
      <c r="I97" s="229"/>
      <c r="J97" s="229"/>
      <c r="K97" s="229"/>
    </row>
    <row r="98" spans="1:11" x14ac:dyDescent="0.2">
      <c r="A98" s="40"/>
      <c r="B98" s="40"/>
      <c r="C98" s="40"/>
      <c r="D98" s="157">
        <f t="shared" si="0"/>
        <v>0</v>
      </c>
      <c r="E98" s="41"/>
      <c r="F98" s="230"/>
      <c r="G98" s="228"/>
      <c r="H98" s="229"/>
      <c r="I98" s="229"/>
      <c r="J98" s="229"/>
      <c r="K98" s="229"/>
    </row>
    <row r="99" spans="1:11" x14ac:dyDescent="0.2">
      <c r="A99" s="40"/>
      <c r="B99" s="40"/>
      <c r="C99" s="40"/>
      <c r="D99" s="157">
        <f t="shared" si="0"/>
        <v>0</v>
      </c>
      <c r="E99" s="41"/>
      <c r="F99" s="230"/>
      <c r="G99" s="228"/>
      <c r="H99" s="229"/>
      <c r="I99" s="229"/>
      <c r="J99" s="229"/>
      <c r="K99" s="229"/>
    </row>
    <row r="100" spans="1:11" x14ac:dyDescent="0.2">
      <c r="A100" s="40"/>
      <c r="B100" s="40"/>
      <c r="C100" s="40"/>
      <c r="D100" s="157">
        <f t="shared" si="0"/>
        <v>0</v>
      </c>
      <c r="E100" s="41"/>
      <c r="F100" s="230"/>
      <c r="G100" s="228"/>
      <c r="H100" s="229"/>
      <c r="I100" s="229"/>
      <c r="J100" s="229"/>
      <c r="K100" s="229"/>
    </row>
    <row r="101" spans="1:11" x14ac:dyDescent="0.2">
      <c r="A101" s="40"/>
      <c r="B101" s="40"/>
      <c r="C101" s="40"/>
      <c r="D101" s="157">
        <f t="shared" si="0"/>
        <v>0</v>
      </c>
      <c r="E101" s="41"/>
      <c r="F101" s="230"/>
      <c r="G101" s="228"/>
      <c r="H101" s="229"/>
      <c r="I101" s="229"/>
      <c r="J101" s="229"/>
      <c r="K101" s="229"/>
    </row>
    <row r="102" spans="1:11" x14ac:dyDescent="0.2">
      <c r="A102" s="40"/>
      <c r="B102" s="40"/>
      <c r="C102" s="40"/>
      <c r="D102" s="157">
        <f t="shared" si="0"/>
        <v>0</v>
      </c>
      <c r="E102" s="41"/>
      <c r="F102" s="230"/>
      <c r="G102" s="228"/>
      <c r="H102" s="229"/>
      <c r="I102" s="229"/>
      <c r="J102" s="229"/>
      <c r="K102" s="229"/>
    </row>
    <row r="103" spans="1:11" x14ac:dyDescent="0.2">
      <c r="A103" s="40"/>
      <c r="B103" s="40"/>
      <c r="C103" s="40"/>
      <c r="D103" s="157">
        <f t="shared" si="0"/>
        <v>0</v>
      </c>
      <c r="E103" s="41"/>
      <c r="F103" s="230"/>
      <c r="G103" s="228"/>
      <c r="H103" s="229"/>
      <c r="I103" s="229"/>
      <c r="J103" s="229"/>
      <c r="K103" s="229"/>
    </row>
    <row r="104" spans="1:11" x14ac:dyDescent="0.2">
      <c r="A104" s="40"/>
      <c r="B104" s="40"/>
      <c r="C104" s="40"/>
      <c r="D104" s="157">
        <f t="shared" si="0"/>
        <v>0</v>
      </c>
      <c r="E104" s="41"/>
      <c r="F104" s="230"/>
      <c r="G104" s="228"/>
      <c r="H104" s="229"/>
      <c r="I104" s="229"/>
      <c r="J104" s="229"/>
      <c r="K104" s="229"/>
    </row>
    <row r="105" spans="1:11" x14ac:dyDescent="0.2">
      <c r="A105" s="40"/>
      <c r="B105" s="40"/>
      <c r="C105" s="40"/>
      <c r="D105" s="157">
        <f t="shared" si="0"/>
        <v>0</v>
      </c>
      <c r="E105" s="41"/>
      <c r="F105" s="230"/>
      <c r="G105" s="228"/>
      <c r="H105" s="229"/>
      <c r="I105" s="229"/>
      <c r="J105" s="229"/>
      <c r="K105" s="229"/>
    </row>
    <row r="106" spans="1:11" x14ac:dyDescent="0.2">
      <c r="A106" s="40"/>
      <c r="B106" s="40"/>
      <c r="C106" s="40"/>
      <c r="D106" s="157">
        <f t="shared" si="0"/>
        <v>0</v>
      </c>
      <c r="E106" s="41"/>
      <c r="F106" s="230"/>
      <c r="G106" s="228"/>
      <c r="H106" s="229"/>
      <c r="I106" s="229"/>
      <c r="J106" s="229"/>
      <c r="K106" s="229"/>
    </row>
    <row r="107" spans="1:11" x14ac:dyDescent="0.2">
      <c r="A107" s="40"/>
      <c r="B107" s="40"/>
      <c r="C107" s="40"/>
      <c r="D107" s="157">
        <f t="shared" si="0"/>
        <v>0</v>
      </c>
      <c r="E107" s="41"/>
      <c r="F107" s="230"/>
      <c r="G107" s="228"/>
      <c r="H107" s="229"/>
      <c r="I107" s="229"/>
      <c r="J107" s="229"/>
      <c r="K107" s="229"/>
    </row>
    <row r="108" spans="1:11" x14ac:dyDescent="0.2">
      <c r="A108" s="40"/>
      <c r="B108" s="40"/>
      <c r="C108" s="40"/>
      <c r="D108" s="157">
        <f t="shared" si="0"/>
        <v>0</v>
      </c>
      <c r="E108" s="41"/>
      <c r="F108" s="230"/>
      <c r="G108" s="228"/>
      <c r="H108" s="229"/>
      <c r="I108" s="229"/>
      <c r="J108" s="229"/>
      <c r="K108" s="229"/>
    </row>
    <row r="109" spans="1:11" x14ac:dyDescent="0.2">
      <c r="A109" s="40"/>
      <c r="B109" s="40"/>
      <c r="C109" s="40"/>
      <c r="D109" s="157">
        <f t="shared" si="0"/>
        <v>0</v>
      </c>
      <c r="E109" s="41"/>
      <c r="F109" s="230"/>
      <c r="G109" s="228"/>
      <c r="H109" s="229"/>
      <c r="I109" s="229"/>
      <c r="J109" s="229"/>
      <c r="K109" s="229"/>
    </row>
    <row r="110" spans="1:11" x14ac:dyDescent="0.2">
      <c r="A110" s="40"/>
      <c r="B110" s="40"/>
      <c r="C110" s="40"/>
      <c r="D110" s="157">
        <f t="shared" si="0"/>
        <v>0</v>
      </c>
      <c r="E110" s="41"/>
      <c r="F110" s="230"/>
      <c r="G110" s="228"/>
      <c r="H110" s="229"/>
      <c r="I110" s="229"/>
      <c r="J110" s="229"/>
      <c r="K110" s="229"/>
    </row>
    <row r="111" spans="1:11" x14ac:dyDescent="0.2">
      <c r="A111" s="40"/>
      <c r="B111" s="40"/>
      <c r="C111" s="40"/>
      <c r="D111" s="157">
        <f t="shared" si="0"/>
        <v>0</v>
      </c>
      <c r="E111" s="41"/>
      <c r="F111" s="230"/>
      <c r="G111" s="228"/>
      <c r="H111" s="229"/>
      <c r="I111" s="229"/>
      <c r="J111" s="229"/>
      <c r="K111" s="229"/>
    </row>
    <row r="112" spans="1:11" x14ac:dyDescent="0.2">
      <c r="A112" s="40"/>
      <c r="B112" s="40"/>
      <c r="C112" s="40"/>
      <c r="D112" s="157">
        <f t="shared" si="0"/>
        <v>0</v>
      </c>
      <c r="E112" s="41"/>
      <c r="F112" s="230"/>
      <c r="G112" s="228"/>
      <c r="H112" s="229"/>
      <c r="I112" s="229"/>
      <c r="J112" s="229"/>
      <c r="K112" s="229"/>
    </row>
    <row r="113" spans="1:11" x14ac:dyDescent="0.2">
      <c r="A113" s="40"/>
      <c r="B113" s="40"/>
      <c r="C113" s="40"/>
      <c r="D113" s="157">
        <f t="shared" si="0"/>
        <v>0</v>
      </c>
      <c r="E113" s="41"/>
      <c r="F113" s="230"/>
      <c r="G113" s="228"/>
      <c r="H113" s="229"/>
      <c r="I113" s="229"/>
      <c r="J113" s="229"/>
      <c r="K113" s="229"/>
    </row>
    <row r="114" spans="1:11" x14ac:dyDescent="0.2">
      <c r="A114" s="40"/>
      <c r="B114" s="40"/>
      <c r="C114" s="40"/>
      <c r="D114" s="157">
        <f t="shared" si="0"/>
        <v>0</v>
      </c>
      <c r="E114" s="41"/>
      <c r="F114" s="230"/>
      <c r="G114" s="228"/>
      <c r="H114" s="229"/>
      <c r="I114" s="229"/>
      <c r="J114" s="229"/>
      <c r="K114" s="229"/>
    </row>
    <row r="115" spans="1:11" x14ac:dyDescent="0.2">
      <c r="A115" s="40"/>
      <c r="B115" s="40"/>
      <c r="C115" s="40"/>
      <c r="D115" s="157">
        <f t="shared" si="0"/>
        <v>0</v>
      </c>
      <c r="E115" s="41"/>
      <c r="F115" s="230"/>
      <c r="G115" s="228"/>
      <c r="H115" s="229"/>
      <c r="I115" s="229"/>
      <c r="J115" s="229"/>
      <c r="K115" s="229"/>
    </row>
    <row r="116" spans="1:11" x14ac:dyDescent="0.2">
      <c r="A116" s="40"/>
      <c r="B116" s="40"/>
      <c r="C116" s="40"/>
      <c r="D116" s="157">
        <f t="shared" si="0"/>
        <v>0</v>
      </c>
      <c r="E116" s="41"/>
      <c r="F116" s="230"/>
      <c r="G116" s="228"/>
      <c r="H116" s="229"/>
      <c r="I116" s="229"/>
      <c r="J116" s="229"/>
      <c r="K116" s="229"/>
    </row>
    <row r="117" spans="1:11" x14ac:dyDescent="0.2">
      <c r="A117" s="40"/>
      <c r="B117" s="40"/>
      <c r="C117" s="40"/>
      <c r="D117" s="157">
        <f t="shared" si="0"/>
        <v>0</v>
      </c>
      <c r="E117" s="41"/>
      <c r="F117" s="230"/>
      <c r="G117" s="228"/>
      <c r="H117" s="229"/>
      <c r="I117" s="229"/>
      <c r="J117" s="229"/>
      <c r="K117" s="229"/>
    </row>
    <row r="118" spans="1:11" x14ac:dyDescent="0.2">
      <c r="A118" s="40"/>
      <c r="B118" s="40"/>
      <c r="C118" s="40"/>
      <c r="D118" s="157">
        <f t="shared" si="0"/>
        <v>0</v>
      </c>
      <c r="E118" s="41"/>
      <c r="F118" s="230"/>
      <c r="G118" s="228"/>
      <c r="H118" s="229"/>
      <c r="I118" s="229"/>
      <c r="J118" s="229"/>
      <c r="K118" s="229"/>
    </row>
    <row r="119" spans="1:11" x14ac:dyDescent="0.2">
      <c r="A119" s="40"/>
      <c r="B119" s="40"/>
      <c r="C119" s="40"/>
      <c r="D119" s="157">
        <f t="shared" si="0"/>
        <v>0</v>
      </c>
      <c r="E119" s="41"/>
      <c r="F119" s="230"/>
      <c r="G119" s="228"/>
      <c r="H119" s="229"/>
      <c r="I119" s="229"/>
      <c r="J119" s="229"/>
      <c r="K119" s="229"/>
    </row>
    <row r="120" spans="1:11" x14ac:dyDescent="0.2">
      <c r="A120" s="40"/>
      <c r="B120" s="40"/>
      <c r="C120" s="40"/>
      <c r="D120" s="157">
        <f t="shared" si="0"/>
        <v>0</v>
      </c>
      <c r="E120" s="41"/>
      <c r="F120" s="230"/>
      <c r="G120" s="228"/>
      <c r="H120" s="229"/>
      <c r="I120" s="229"/>
      <c r="J120" s="229"/>
      <c r="K120" s="229"/>
    </row>
    <row r="121" spans="1:11" x14ac:dyDescent="0.2">
      <c r="A121" s="40"/>
      <c r="B121" s="40"/>
      <c r="C121" s="40"/>
      <c r="D121" s="157">
        <f t="shared" si="0"/>
        <v>0</v>
      </c>
      <c r="E121" s="41"/>
      <c r="F121" s="230"/>
      <c r="G121" s="228"/>
      <c r="H121" s="229"/>
      <c r="I121" s="229"/>
      <c r="J121" s="229"/>
      <c r="K121" s="229"/>
    </row>
    <row r="122" spans="1:11" x14ac:dyDescent="0.2">
      <c r="A122" s="40"/>
      <c r="B122" s="40"/>
      <c r="C122" s="40"/>
      <c r="D122" s="157">
        <f t="shared" si="0"/>
        <v>0</v>
      </c>
      <c r="E122" s="41"/>
      <c r="F122" s="230"/>
      <c r="G122" s="228"/>
      <c r="H122" s="229"/>
      <c r="I122" s="229"/>
      <c r="J122" s="229"/>
      <c r="K122" s="229"/>
    </row>
    <row r="123" spans="1:11" x14ac:dyDescent="0.2">
      <c r="A123" s="40"/>
      <c r="B123" s="40"/>
      <c r="C123" s="40"/>
      <c r="D123" s="157">
        <f t="shared" si="0"/>
        <v>0</v>
      </c>
      <c r="E123" s="41"/>
      <c r="F123" s="230"/>
      <c r="G123" s="228"/>
      <c r="H123" s="229"/>
      <c r="I123" s="229"/>
      <c r="J123" s="229"/>
      <c r="K123" s="229"/>
    </row>
    <row r="124" spans="1:11" x14ac:dyDescent="0.2">
      <c r="A124" s="40"/>
      <c r="B124" s="40"/>
      <c r="C124" s="40"/>
      <c r="D124" s="157">
        <f t="shared" si="0"/>
        <v>0</v>
      </c>
      <c r="E124" s="41"/>
      <c r="F124" s="230"/>
      <c r="G124" s="228"/>
      <c r="H124" s="229"/>
      <c r="I124" s="229"/>
      <c r="J124" s="229"/>
      <c r="K124" s="229"/>
    </row>
    <row r="125" spans="1:11" x14ac:dyDescent="0.2">
      <c r="A125" s="40"/>
      <c r="B125" s="40"/>
      <c r="C125" s="40"/>
      <c r="D125" s="157">
        <f t="shared" si="0"/>
        <v>0</v>
      </c>
      <c r="E125" s="41"/>
      <c r="F125" s="230"/>
      <c r="G125" s="228"/>
      <c r="H125" s="229"/>
      <c r="I125" s="229"/>
      <c r="J125" s="229"/>
      <c r="K125" s="229"/>
    </row>
    <row r="126" spans="1:11" x14ac:dyDescent="0.2">
      <c r="A126" s="40"/>
      <c r="B126" s="40"/>
      <c r="C126" s="40"/>
      <c r="D126" s="157">
        <f t="shared" si="0"/>
        <v>0</v>
      </c>
      <c r="E126" s="41"/>
      <c r="F126" s="230"/>
      <c r="G126" s="228"/>
      <c r="H126" s="229"/>
      <c r="I126" s="229"/>
      <c r="J126" s="229"/>
      <c r="K126" s="229"/>
    </row>
    <row r="127" spans="1:11" x14ac:dyDescent="0.2">
      <c r="A127" s="40"/>
      <c r="B127" s="40"/>
      <c r="C127" s="40"/>
      <c r="D127" s="157">
        <f t="shared" si="0"/>
        <v>0</v>
      </c>
      <c r="E127" s="41"/>
      <c r="F127" s="230"/>
      <c r="G127" s="228"/>
      <c r="H127" s="229"/>
      <c r="I127" s="229"/>
      <c r="J127" s="229"/>
      <c r="K127" s="229"/>
    </row>
    <row r="128" spans="1:11" x14ac:dyDescent="0.2">
      <c r="A128" s="40"/>
      <c r="B128" s="40"/>
      <c r="C128" s="40"/>
      <c r="D128" s="157">
        <f t="shared" si="0"/>
        <v>0</v>
      </c>
      <c r="E128" s="41"/>
      <c r="F128" s="230"/>
      <c r="G128" s="228"/>
      <c r="H128" s="229"/>
      <c r="I128" s="229"/>
      <c r="J128" s="229"/>
      <c r="K128" s="229"/>
    </row>
    <row r="129" spans="1:11" x14ac:dyDescent="0.2">
      <c r="A129" s="40"/>
      <c r="B129" s="40"/>
      <c r="C129" s="40"/>
      <c r="D129" s="157">
        <f t="shared" si="0"/>
        <v>0</v>
      </c>
      <c r="E129" s="41"/>
      <c r="F129" s="230"/>
      <c r="G129" s="228"/>
      <c r="H129" s="229"/>
      <c r="I129" s="229"/>
      <c r="J129" s="229"/>
      <c r="K129" s="229"/>
    </row>
    <row r="130" spans="1:11" x14ac:dyDescent="0.2">
      <c r="A130" s="40"/>
      <c r="B130" s="40"/>
      <c r="C130" s="40"/>
      <c r="D130" s="157">
        <f t="shared" si="0"/>
        <v>0</v>
      </c>
      <c r="E130" s="41"/>
      <c r="F130" s="230"/>
      <c r="G130" s="228"/>
      <c r="H130" s="229"/>
      <c r="I130" s="229"/>
      <c r="J130" s="229"/>
      <c r="K130" s="229"/>
    </row>
    <row r="131" spans="1:11" x14ac:dyDescent="0.2">
      <c r="A131" s="40"/>
      <c r="B131" s="40"/>
      <c r="C131" s="40"/>
      <c r="D131" s="157">
        <f t="shared" si="0"/>
        <v>0</v>
      </c>
      <c r="E131" s="41"/>
      <c r="F131" s="230"/>
      <c r="G131" s="228"/>
      <c r="H131" s="229"/>
      <c r="I131" s="229"/>
      <c r="J131" s="229"/>
      <c r="K131" s="229"/>
    </row>
    <row r="132" spans="1:11" x14ac:dyDescent="0.2">
      <c r="A132" s="40"/>
      <c r="B132" s="40"/>
      <c r="C132" s="40"/>
      <c r="D132" s="157">
        <f t="shared" si="0"/>
        <v>0</v>
      </c>
      <c r="E132" s="41"/>
      <c r="F132" s="230"/>
      <c r="G132" s="228"/>
      <c r="H132" s="229"/>
      <c r="I132" s="229"/>
      <c r="J132" s="229"/>
      <c r="K132" s="229"/>
    </row>
    <row r="133" spans="1:11" x14ac:dyDescent="0.2">
      <c r="A133" s="40"/>
      <c r="B133" s="40"/>
      <c r="C133" s="40"/>
      <c r="D133" s="157">
        <f t="shared" si="0"/>
        <v>0</v>
      </c>
      <c r="E133" s="41"/>
      <c r="F133" s="230"/>
      <c r="G133" s="228"/>
      <c r="H133" s="229"/>
      <c r="I133" s="229"/>
      <c r="J133" s="229"/>
      <c r="K133" s="229"/>
    </row>
    <row r="134" spans="1:11" x14ac:dyDescent="0.2">
      <c r="A134" s="40"/>
      <c r="B134" s="40"/>
      <c r="C134" s="40"/>
      <c r="D134" s="157">
        <f t="shared" si="0"/>
        <v>0</v>
      </c>
      <c r="E134" s="41"/>
      <c r="F134" s="230"/>
      <c r="G134" s="228"/>
      <c r="H134" s="229"/>
      <c r="I134" s="229"/>
      <c r="J134" s="229"/>
      <c r="K134" s="229"/>
    </row>
    <row r="135" spans="1:11" x14ac:dyDescent="0.2">
      <c r="A135" s="40"/>
      <c r="B135" s="40"/>
      <c r="C135" s="40"/>
      <c r="D135" s="157">
        <f t="shared" si="0"/>
        <v>0</v>
      </c>
      <c r="E135" s="41"/>
      <c r="F135" s="230"/>
      <c r="G135" s="228"/>
      <c r="H135" s="229"/>
      <c r="I135" s="229"/>
      <c r="J135" s="229"/>
      <c r="K135" s="229"/>
    </row>
    <row r="136" spans="1:11" x14ac:dyDescent="0.2">
      <c r="A136" s="40"/>
      <c r="B136" s="40"/>
      <c r="C136" s="40"/>
      <c r="D136" s="157">
        <f t="shared" si="0"/>
        <v>0</v>
      </c>
      <c r="E136" s="41"/>
      <c r="F136" s="230"/>
      <c r="G136" s="228"/>
      <c r="H136" s="229"/>
      <c r="I136" s="229"/>
      <c r="J136" s="229"/>
      <c r="K136" s="229"/>
    </row>
    <row r="137" spans="1:11" x14ac:dyDescent="0.2">
      <c r="A137" s="40"/>
      <c r="B137" s="40"/>
      <c r="C137" s="40"/>
      <c r="D137" s="157">
        <f t="shared" si="0"/>
        <v>0</v>
      </c>
      <c r="E137" s="41"/>
      <c r="F137" s="230"/>
      <c r="G137" s="228"/>
      <c r="H137" s="229"/>
      <c r="I137" s="229"/>
      <c r="J137" s="229"/>
      <c r="K137" s="229"/>
    </row>
    <row r="138" spans="1:11" x14ac:dyDescent="0.2">
      <c r="A138" s="40"/>
      <c r="B138" s="40"/>
      <c r="C138" s="40"/>
      <c r="D138" s="157">
        <f t="shared" si="0"/>
        <v>0</v>
      </c>
      <c r="E138" s="41"/>
      <c r="F138" s="230"/>
      <c r="G138" s="228"/>
      <c r="H138" s="229"/>
      <c r="I138" s="229"/>
      <c r="J138" s="229"/>
      <c r="K138" s="229"/>
    </row>
    <row r="139" spans="1:11" x14ac:dyDescent="0.2">
      <c r="A139" s="40"/>
      <c r="B139" s="40"/>
      <c r="C139" s="40"/>
      <c r="D139" s="157">
        <f t="shared" si="0"/>
        <v>0</v>
      </c>
      <c r="E139" s="41"/>
      <c r="F139" s="230"/>
      <c r="G139" s="228"/>
      <c r="H139" s="229"/>
      <c r="I139" s="229"/>
      <c r="J139" s="229"/>
      <c r="K139" s="229"/>
    </row>
    <row r="140" spans="1:11" x14ac:dyDescent="0.2">
      <c r="A140" s="40"/>
      <c r="B140" s="40"/>
      <c r="C140" s="40"/>
      <c r="D140" s="157">
        <f t="shared" si="0"/>
        <v>0</v>
      </c>
      <c r="E140" s="41"/>
      <c r="F140" s="230"/>
      <c r="G140" s="228"/>
      <c r="H140" s="229"/>
      <c r="I140" s="229"/>
      <c r="J140" s="229"/>
      <c r="K140" s="229"/>
    </row>
    <row r="141" spans="1:11" x14ac:dyDescent="0.2">
      <c r="A141" s="40"/>
      <c r="B141" s="40"/>
      <c r="C141" s="40"/>
      <c r="D141" s="157">
        <f t="shared" si="0"/>
        <v>0</v>
      </c>
      <c r="E141" s="41"/>
      <c r="F141" s="230"/>
      <c r="G141" s="228"/>
      <c r="H141" s="229"/>
      <c r="I141" s="229"/>
      <c r="J141" s="229"/>
      <c r="K141" s="229"/>
    </row>
    <row r="142" spans="1:11" x14ac:dyDescent="0.2">
      <c r="A142" s="40"/>
      <c r="B142" s="40"/>
      <c r="C142" s="40"/>
      <c r="D142" s="157">
        <f t="shared" si="0"/>
        <v>0</v>
      </c>
      <c r="E142" s="41"/>
      <c r="F142" s="230"/>
      <c r="G142" s="228"/>
      <c r="H142" s="229"/>
      <c r="I142" s="229"/>
      <c r="J142" s="229"/>
      <c r="K142" s="229"/>
    </row>
    <row r="143" spans="1:11" x14ac:dyDescent="0.2">
      <c r="A143" s="40"/>
      <c r="B143" s="40"/>
      <c r="C143" s="40"/>
      <c r="D143" s="157">
        <f t="shared" si="0"/>
        <v>0</v>
      </c>
      <c r="E143" s="41"/>
      <c r="F143" s="230"/>
      <c r="G143" s="228"/>
      <c r="H143" s="229"/>
      <c r="I143" s="229"/>
      <c r="J143" s="229"/>
      <c r="K143" s="229"/>
    </row>
    <row r="144" spans="1:11" x14ac:dyDescent="0.2">
      <c r="A144" s="40"/>
      <c r="B144" s="40"/>
      <c r="C144" s="40"/>
      <c r="D144" s="157">
        <f t="shared" si="0"/>
        <v>0</v>
      </c>
      <c r="E144" s="41"/>
      <c r="F144" s="230"/>
      <c r="G144" s="228"/>
      <c r="H144" s="229"/>
      <c r="I144" s="229"/>
      <c r="J144" s="229"/>
      <c r="K144" s="229"/>
    </row>
    <row r="145" spans="1:11" x14ac:dyDescent="0.2">
      <c r="A145" s="40"/>
      <c r="B145" s="40"/>
      <c r="C145" s="40"/>
      <c r="D145" s="157">
        <f t="shared" si="0"/>
        <v>0</v>
      </c>
      <c r="E145" s="41"/>
      <c r="F145" s="230"/>
      <c r="G145" s="228"/>
      <c r="H145" s="229"/>
      <c r="I145" s="229"/>
      <c r="J145" s="229"/>
      <c r="K145" s="229"/>
    </row>
    <row r="146" spans="1:11" x14ac:dyDescent="0.2">
      <c r="A146" s="40"/>
      <c r="B146" s="40"/>
      <c r="C146" s="40"/>
      <c r="D146" s="157">
        <f t="shared" si="0"/>
        <v>0</v>
      </c>
      <c r="E146" s="41"/>
      <c r="F146" s="230"/>
      <c r="G146" s="228"/>
      <c r="H146" s="229"/>
      <c r="I146" s="229"/>
      <c r="J146" s="229"/>
      <c r="K146" s="229"/>
    </row>
    <row r="147" spans="1:11" x14ac:dyDescent="0.2">
      <c r="A147" s="40"/>
      <c r="B147" s="40"/>
      <c r="C147" s="40"/>
      <c r="D147" s="157">
        <f t="shared" si="0"/>
        <v>0</v>
      </c>
      <c r="E147" s="41"/>
      <c r="F147" s="230"/>
      <c r="G147" s="228"/>
      <c r="H147" s="229"/>
      <c r="I147" s="229"/>
      <c r="J147" s="229"/>
      <c r="K147" s="229"/>
    </row>
    <row r="148" spans="1:11" x14ac:dyDescent="0.2">
      <c r="A148" s="40"/>
      <c r="B148" s="40"/>
      <c r="C148" s="40"/>
      <c r="D148" s="157">
        <f t="shared" si="0"/>
        <v>0</v>
      </c>
      <c r="E148" s="41"/>
      <c r="F148" s="230"/>
      <c r="G148" s="228"/>
      <c r="H148" s="229"/>
      <c r="I148" s="229"/>
      <c r="J148" s="229"/>
      <c r="K148" s="229"/>
    </row>
    <row r="149" spans="1:11" x14ac:dyDescent="0.2">
      <c r="A149" s="40"/>
      <c r="B149" s="40"/>
      <c r="C149" s="40"/>
      <c r="D149" s="157">
        <f t="shared" si="0"/>
        <v>0</v>
      </c>
      <c r="E149" s="41"/>
      <c r="F149" s="230"/>
      <c r="G149" s="228"/>
      <c r="H149" s="229"/>
      <c r="I149" s="229"/>
      <c r="J149" s="229"/>
      <c r="K149" s="229"/>
    </row>
    <row r="150" spans="1:11" x14ac:dyDescent="0.2">
      <c r="A150" s="40"/>
      <c r="B150" s="40"/>
      <c r="C150" s="40"/>
      <c r="D150" s="157">
        <f t="shared" si="0"/>
        <v>0</v>
      </c>
      <c r="E150" s="41"/>
      <c r="F150" s="230"/>
      <c r="G150" s="228"/>
      <c r="H150" s="229"/>
      <c r="I150" s="229"/>
      <c r="J150" s="229"/>
      <c r="K150" s="229"/>
    </row>
    <row r="151" spans="1:11" x14ac:dyDescent="0.2">
      <c r="A151" s="40"/>
      <c r="B151" s="40"/>
      <c r="C151" s="40"/>
      <c r="D151" s="157">
        <f t="shared" si="0"/>
        <v>0</v>
      </c>
      <c r="E151" s="41"/>
      <c r="F151" s="230"/>
      <c r="G151" s="228"/>
      <c r="H151" s="229"/>
      <c r="I151" s="229"/>
      <c r="J151" s="229"/>
      <c r="K151" s="229"/>
    </row>
    <row r="152" spans="1:11" x14ac:dyDescent="0.2">
      <c r="A152" s="40"/>
      <c r="B152" s="40"/>
      <c r="C152" s="40"/>
      <c r="D152" s="157">
        <f t="shared" si="0"/>
        <v>0</v>
      </c>
      <c r="E152" s="41"/>
      <c r="F152" s="230"/>
      <c r="G152" s="228"/>
      <c r="H152" s="229"/>
      <c r="I152" s="229"/>
      <c r="J152" s="229"/>
      <c r="K152" s="229"/>
    </row>
    <row r="153" spans="1:11" x14ac:dyDescent="0.2">
      <c r="A153" s="40"/>
      <c r="B153" s="40"/>
      <c r="C153" s="40"/>
      <c r="D153" s="157">
        <f t="shared" si="0"/>
        <v>0</v>
      </c>
      <c r="E153" s="41"/>
      <c r="F153" s="230"/>
      <c r="G153" s="228"/>
      <c r="H153" s="229"/>
      <c r="I153" s="229"/>
      <c r="J153" s="229"/>
      <c r="K153" s="229"/>
    </row>
    <row r="154" spans="1:11" x14ac:dyDescent="0.2">
      <c r="A154" s="40"/>
      <c r="B154" s="40"/>
      <c r="C154" s="40"/>
      <c r="D154" s="157">
        <f t="shared" si="0"/>
        <v>0</v>
      </c>
      <c r="E154" s="41"/>
      <c r="F154" s="230"/>
      <c r="G154" s="228"/>
      <c r="H154" s="229"/>
      <c r="I154" s="229"/>
      <c r="J154" s="229"/>
      <c r="K154" s="229"/>
    </row>
    <row r="155" spans="1:11" x14ac:dyDescent="0.2">
      <c r="A155" s="40"/>
      <c r="B155" s="40"/>
      <c r="C155" s="40"/>
      <c r="D155" s="157">
        <f t="shared" si="0"/>
        <v>0</v>
      </c>
      <c r="E155" s="41"/>
      <c r="F155" s="230"/>
      <c r="G155" s="228"/>
      <c r="H155" s="229"/>
      <c r="I155" s="229"/>
      <c r="J155" s="229"/>
      <c r="K155" s="229"/>
    </row>
    <row r="156" spans="1:11" x14ac:dyDescent="0.2">
      <c r="A156" s="40"/>
      <c r="B156" s="40"/>
      <c r="C156" s="40"/>
      <c r="D156" s="157">
        <f t="shared" si="0"/>
        <v>0</v>
      </c>
      <c r="E156" s="41"/>
      <c r="F156" s="230"/>
      <c r="G156" s="228"/>
      <c r="H156" s="229"/>
      <c r="I156" s="229"/>
      <c r="J156" s="229"/>
      <c r="K156" s="229"/>
    </row>
    <row r="157" spans="1:11" x14ac:dyDescent="0.2">
      <c r="A157" s="40"/>
      <c r="B157" s="40"/>
      <c r="C157" s="40"/>
      <c r="D157" s="157">
        <f t="shared" si="0"/>
        <v>0</v>
      </c>
      <c r="E157" s="41"/>
      <c r="F157" s="230"/>
      <c r="G157" s="228"/>
      <c r="H157" s="229"/>
      <c r="I157" s="229"/>
      <c r="J157" s="229"/>
      <c r="K157" s="229"/>
    </row>
    <row r="158" spans="1:11" x14ac:dyDescent="0.2">
      <c r="A158" s="40"/>
      <c r="B158" s="40"/>
      <c r="C158" s="40"/>
      <c r="D158" s="157">
        <f t="shared" si="0"/>
        <v>0</v>
      </c>
      <c r="E158" s="41"/>
      <c r="F158" s="230"/>
      <c r="G158" s="228"/>
      <c r="H158" s="229"/>
      <c r="I158" s="229"/>
      <c r="J158" s="229"/>
      <c r="K158" s="229"/>
    </row>
    <row r="159" spans="1:11" x14ac:dyDescent="0.2">
      <c r="A159" s="40"/>
      <c r="B159" s="40"/>
      <c r="C159" s="40"/>
      <c r="D159" s="157">
        <f t="shared" si="0"/>
        <v>0</v>
      </c>
      <c r="E159" s="41"/>
      <c r="F159" s="230"/>
      <c r="G159" s="228"/>
      <c r="H159" s="229"/>
      <c r="I159" s="229"/>
      <c r="J159" s="229"/>
      <c r="K159" s="229"/>
    </row>
    <row r="160" spans="1:11" x14ac:dyDescent="0.2">
      <c r="A160" s="40"/>
      <c r="B160" s="40"/>
      <c r="C160" s="40"/>
      <c r="D160" s="157">
        <f t="shared" si="0"/>
        <v>0</v>
      </c>
      <c r="E160" s="41"/>
      <c r="F160" s="230"/>
      <c r="G160" s="228"/>
      <c r="H160" s="229"/>
      <c r="I160" s="229"/>
      <c r="J160" s="229"/>
      <c r="K160" s="229"/>
    </row>
    <row r="161" spans="1:11" x14ac:dyDescent="0.2">
      <c r="A161" s="40"/>
      <c r="B161" s="40"/>
      <c r="C161" s="40"/>
      <c r="D161" s="157">
        <f t="shared" si="0"/>
        <v>0</v>
      </c>
      <c r="E161" s="41"/>
      <c r="F161" s="230"/>
      <c r="G161" s="228"/>
      <c r="H161" s="229"/>
      <c r="I161" s="229"/>
      <c r="J161" s="229"/>
      <c r="K161" s="229"/>
    </row>
    <row r="162" spans="1:11" x14ac:dyDescent="0.2">
      <c r="A162" s="40"/>
      <c r="B162" s="40"/>
      <c r="C162" s="40"/>
      <c r="D162" s="157">
        <f t="shared" si="0"/>
        <v>0</v>
      </c>
      <c r="E162" s="41"/>
      <c r="F162" s="230"/>
      <c r="G162" s="228"/>
      <c r="H162" s="229"/>
      <c r="I162" s="229"/>
      <c r="J162" s="229"/>
      <c r="K162" s="229"/>
    </row>
    <row r="163" spans="1:11" x14ac:dyDescent="0.2">
      <c r="A163" s="40"/>
      <c r="B163" s="40"/>
      <c r="C163" s="40"/>
      <c r="D163" s="157">
        <f t="shared" si="0"/>
        <v>0</v>
      </c>
      <c r="E163" s="41"/>
      <c r="F163" s="230"/>
      <c r="G163" s="228"/>
      <c r="H163" s="229"/>
      <c r="I163" s="229"/>
      <c r="J163" s="229"/>
      <c r="K163" s="229"/>
    </row>
    <row r="164" spans="1:11" x14ac:dyDescent="0.2">
      <c r="A164" s="40"/>
      <c r="B164" s="40"/>
      <c r="C164" s="40"/>
      <c r="D164" s="157">
        <f t="shared" si="0"/>
        <v>0</v>
      </c>
      <c r="E164" s="41"/>
      <c r="F164" s="230"/>
      <c r="G164" s="228"/>
      <c r="H164" s="229"/>
      <c r="I164" s="229"/>
      <c r="J164" s="229"/>
      <c r="K164" s="229"/>
    </row>
    <row r="165" spans="1:11" x14ac:dyDescent="0.2">
      <c r="A165" s="40"/>
      <c r="B165" s="40"/>
      <c r="C165" s="40"/>
      <c r="D165" s="157">
        <f t="shared" si="0"/>
        <v>0</v>
      </c>
      <c r="E165" s="41"/>
      <c r="F165" s="230"/>
      <c r="G165" s="228"/>
      <c r="H165" s="229"/>
      <c r="I165" s="229"/>
      <c r="J165" s="229"/>
      <c r="K165" s="229"/>
    </row>
    <row r="166" spans="1:11" x14ac:dyDescent="0.2">
      <c r="A166" s="40"/>
      <c r="B166" s="40"/>
      <c r="C166" s="40"/>
      <c r="D166" s="157">
        <f t="shared" si="0"/>
        <v>0</v>
      </c>
      <c r="E166" s="41"/>
      <c r="F166" s="230"/>
      <c r="G166" s="228"/>
      <c r="H166" s="229"/>
      <c r="I166" s="229"/>
      <c r="J166" s="229"/>
      <c r="K166" s="229"/>
    </row>
    <row r="167" spans="1:11" x14ac:dyDescent="0.2">
      <c r="A167" s="40"/>
      <c r="B167" s="40"/>
      <c r="C167" s="40"/>
      <c r="D167" s="157">
        <f t="shared" si="0"/>
        <v>0</v>
      </c>
      <c r="E167" s="41"/>
      <c r="F167" s="230"/>
      <c r="G167" s="228"/>
      <c r="H167" s="229"/>
      <c r="I167" s="229"/>
      <c r="J167" s="229"/>
      <c r="K167" s="229"/>
    </row>
    <row r="168" spans="1:11" x14ac:dyDescent="0.2">
      <c r="A168" s="40"/>
      <c r="B168" s="40"/>
      <c r="C168" s="40"/>
      <c r="D168" s="157">
        <f t="shared" si="0"/>
        <v>0</v>
      </c>
      <c r="E168" s="41"/>
      <c r="F168" s="230"/>
      <c r="G168" s="228"/>
      <c r="H168" s="229"/>
      <c r="I168" s="229"/>
      <c r="J168" s="229"/>
      <c r="K168" s="229"/>
    </row>
    <row r="169" spans="1:11" x14ac:dyDescent="0.2">
      <c r="A169" s="40"/>
      <c r="B169" s="40"/>
      <c r="C169" s="40"/>
      <c r="D169" s="157">
        <f t="shared" si="0"/>
        <v>0</v>
      </c>
      <c r="E169" s="41"/>
      <c r="F169" s="230"/>
      <c r="G169" s="228"/>
      <c r="H169" s="229"/>
      <c r="I169" s="229"/>
      <c r="J169" s="229"/>
      <c r="K169" s="229"/>
    </row>
    <row r="170" spans="1:11" x14ac:dyDescent="0.2">
      <c r="A170" s="40"/>
      <c r="B170" s="40"/>
      <c r="C170" s="40"/>
      <c r="D170" s="157">
        <f t="shared" si="0"/>
        <v>0</v>
      </c>
      <c r="E170" s="41"/>
      <c r="F170" s="230"/>
      <c r="G170" s="228"/>
      <c r="H170" s="229"/>
      <c r="I170" s="229"/>
      <c r="J170" s="229"/>
      <c r="K170" s="229"/>
    </row>
    <row r="171" spans="1:11" x14ac:dyDescent="0.2">
      <c r="A171" s="40"/>
      <c r="B171" s="40"/>
      <c r="C171" s="40"/>
      <c r="D171" s="157">
        <f t="shared" si="0"/>
        <v>0</v>
      </c>
      <c r="E171" s="41"/>
      <c r="F171" s="230"/>
      <c r="G171" s="228"/>
      <c r="H171" s="229"/>
      <c r="I171" s="229"/>
      <c r="J171" s="229"/>
      <c r="K171" s="229"/>
    </row>
    <row r="172" spans="1:11" x14ac:dyDescent="0.2">
      <c r="A172" s="40"/>
      <c r="B172" s="40"/>
      <c r="C172" s="40"/>
      <c r="D172" s="157">
        <f t="shared" si="0"/>
        <v>0</v>
      </c>
      <c r="E172" s="41"/>
      <c r="F172" s="230"/>
      <c r="G172" s="228"/>
      <c r="H172" s="229"/>
      <c r="I172" s="229"/>
      <c r="J172" s="229"/>
      <c r="K172" s="229"/>
    </row>
    <row r="173" spans="1:11" x14ac:dyDescent="0.2">
      <c r="A173" s="40"/>
      <c r="B173" s="40"/>
      <c r="C173" s="40"/>
      <c r="D173" s="157">
        <f t="shared" si="0"/>
        <v>0</v>
      </c>
      <c r="E173" s="41"/>
      <c r="F173" s="230"/>
      <c r="G173" s="228"/>
      <c r="H173" s="229"/>
      <c r="I173" s="229"/>
      <c r="J173" s="229"/>
      <c r="K173" s="229"/>
    </row>
    <row r="174" spans="1:11" x14ac:dyDescent="0.2">
      <c r="A174" s="40"/>
      <c r="B174" s="40"/>
      <c r="C174" s="40"/>
      <c r="D174" s="157">
        <f t="shared" si="0"/>
        <v>0</v>
      </c>
      <c r="E174" s="41"/>
      <c r="F174" s="230"/>
      <c r="G174" s="228"/>
      <c r="H174" s="229"/>
      <c r="I174" s="229"/>
      <c r="J174" s="229"/>
      <c r="K174" s="229"/>
    </row>
    <row r="175" spans="1:11" x14ac:dyDescent="0.2">
      <c r="A175" s="40"/>
      <c r="B175" s="40"/>
      <c r="C175" s="40"/>
      <c r="D175" s="157">
        <f t="shared" si="0"/>
        <v>0</v>
      </c>
      <c r="E175" s="41"/>
      <c r="F175" s="230"/>
      <c r="G175" s="228"/>
      <c r="H175" s="229"/>
      <c r="I175" s="229"/>
      <c r="J175" s="229"/>
      <c r="K175" s="229"/>
    </row>
    <row r="176" spans="1:11" x14ac:dyDescent="0.2">
      <c r="A176" s="40"/>
      <c r="B176" s="40"/>
      <c r="C176" s="40"/>
      <c r="D176" s="157">
        <f t="shared" si="0"/>
        <v>0</v>
      </c>
      <c r="E176" s="41"/>
      <c r="F176" s="230"/>
      <c r="G176" s="228"/>
      <c r="H176" s="229"/>
      <c r="I176" s="229"/>
      <c r="J176" s="229"/>
      <c r="K176" s="229"/>
    </row>
    <row r="177" spans="1:11" x14ac:dyDescent="0.2">
      <c r="A177" s="40"/>
      <c r="B177" s="40"/>
      <c r="C177" s="40"/>
      <c r="D177" s="157">
        <f t="shared" si="0"/>
        <v>0</v>
      </c>
      <c r="E177" s="41"/>
      <c r="F177" s="230"/>
      <c r="G177" s="228"/>
      <c r="H177" s="229"/>
      <c r="I177" s="229"/>
      <c r="J177" s="229"/>
      <c r="K177" s="229"/>
    </row>
    <row r="178" spans="1:11" x14ac:dyDescent="0.2">
      <c r="A178" s="42"/>
      <c r="B178" s="42"/>
      <c r="C178" s="42"/>
      <c r="D178" s="157">
        <f t="shared" ref="D178:D241" si="1">B178*C178/10^6</f>
        <v>0</v>
      </c>
      <c r="E178" s="41"/>
      <c r="F178" s="230"/>
      <c r="G178" s="228"/>
      <c r="H178" s="229"/>
      <c r="I178" s="229"/>
      <c r="J178" s="229"/>
      <c r="K178" s="229"/>
    </row>
    <row r="179" spans="1:11" x14ac:dyDescent="0.2">
      <c r="A179" s="42"/>
      <c r="B179" s="42"/>
      <c r="C179" s="42"/>
      <c r="D179" s="157">
        <f t="shared" si="1"/>
        <v>0</v>
      </c>
      <c r="E179" s="41"/>
      <c r="F179" s="230"/>
      <c r="G179" s="228"/>
      <c r="H179" s="229"/>
      <c r="I179" s="229"/>
      <c r="J179" s="229"/>
      <c r="K179" s="229"/>
    </row>
    <row r="180" spans="1:11" x14ac:dyDescent="0.2">
      <c r="A180" s="42"/>
      <c r="B180" s="42"/>
      <c r="C180" s="42"/>
      <c r="D180" s="157">
        <f t="shared" si="1"/>
        <v>0</v>
      </c>
      <c r="E180" s="41"/>
      <c r="F180" s="230"/>
      <c r="G180" s="228"/>
      <c r="H180" s="229"/>
      <c r="I180" s="229"/>
      <c r="J180" s="229"/>
      <c r="K180" s="229"/>
    </row>
    <row r="181" spans="1:11" x14ac:dyDescent="0.2">
      <c r="A181" s="42"/>
      <c r="B181" s="42"/>
      <c r="C181" s="42"/>
      <c r="D181" s="157">
        <f t="shared" si="1"/>
        <v>0</v>
      </c>
      <c r="E181" s="41"/>
      <c r="F181" s="230"/>
      <c r="G181" s="228"/>
      <c r="H181" s="229"/>
      <c r="I181" s="229"/>
      <c r="J181" s="229"/>
      <c r="K181" s="229"/>
    </row>
    <row r="182" spans="1:11" x14ac:dyDescent="0.2">
      <c r="A182" s="42"/>
      <c r="B182" s="42"/>
      <c r="C182" s="42"/>
      <c r="D182" s="157">
        <f t="shared" si="1"/>
        <v>0</v>
      </c>
      <c r="E182" s="41"/>
      <c r="F182" s="230"/>
      <c r="G182" s="228"/>
      <c r="H182" s="229"/>
      <c r="I182" s="229"/>
      <c r="J182" s="229"/>
      <c r="K182" s="229"/>
    </row>
    <row r="183" spans="1:11" x14ac:dyDescent="0.2">
      <c r="A183" s="42"/>
      <c r="B183" s="42"/>
      <c r="C183" s="42"/>
      <c r="D183" s="157">
        <f t="shared" si="1"/>
        <v>0</v>
      </c>
      <c r="E183" s="41"/>
      <c r="F183" s="230"/>
      <c r="G183" s="228"/>
      <c r="H183" s="229"/>
      <c r="I183" s="229"/>
      <c r="J183" s="229"/>
      <c r="K183" s="229"/>
    </row>
    <row r="184" spans="1:11" x14ac:dyDescent="0.2">
      <c r="A184" s="42"/>
      <c r="B184" s="42"/>
      <c r="C184" s="42"/>
      <c r="D184" s="157">
        <f t="shared" si="1"/>
        <v>0</v>
      </c>
      <c r="E184" s="41"/>
      <c r="F184" s="230"/>
      <c r="G184" s="228"/>
      <c r="H184" s="229"/>
      <c r="I184" s="229"/>
      <c r="J184" s="229"/>
      <c r="K184" s="229"/>
    </row>
    <row r="185" spans="1:11" x14ac:dyDescent="0.2">
      <c r="A185" s="42"/>
      <c r="B185" s="42"/>
      <c r="C185" s="42"/>
      <c r="D185" s="157">
        <f t="shared" si="1"/>
        <v>0</v>
      </c>
      <c r="E185" s="41"/>
      <c r="F185" s="230"/>
      <c r="G185" s="228"/>
      <c r="H185" s="229"/>
      <c r="I185" s="229"/>
      <c r="J185" s="229"/>
      <c r="K185" s="229"/>
    </row>
    <row r="186" spans="1:11" x14ac:dyDescent="0.2">
      <c r="A186" s="42"/>
      <c r="B186" s="42"/>
      <c r="C186" s="42"/>
      <c r="D186" s="157">
        <f t="shared" si="1"/>
        <v>0</v>
      </c>
      <c r="E186" s="41"/>
      <c r="F186" s="230"/>
      <c r="G186" s="228"/>
      <c r="H186" s="229"/>
      <c r="I186" s="229"/>
      <c r="J186" s="229"/>
      <c r="K186" s="229"/>
    </row>
    <row r="187" spans="1:11" x14ac:dyDescent="0.2">
      <c r="A187" s="42"/>
      <c r="B187" s="42"/>
      <c r="C187" s="42"/>
      <c r="D187" s="157">
        <f t="shared" si="1"/>
        <v>0</v>
      </c>
      <c r="E187" s="41"/>
      <c r="F187" s="230"/>
      <c r="G187" s="228"/>
      <c r="H187" s="229"/>
      <c r="I187" s="229"/>
      <c r="J187" s="229"/>
      <c r="K187" s="229"/>
    </row>
    <row r="188" spans="1:11" x14ac:dyDescent="0.2">
      <c r="A188" s="42"/>
      <c r="B188" s="42"/>
      <c r="C188" s="42"/>
      <c r="D188" s="157">
        <f t="shared" si="1"/>
        <v>0</v>
      </c>
      <c r="E188" s="41"/>
      <c r="F188" s="230"/>
      <c r="G188" s="228"/>
      <c r="H188" s="229"/>
      <c r="I188" s="229"/>
      <c r="J188" s="229"/>
      <c r="K188" s="229"/>
    </row>
    <row r="189" spans="1:11" x14ac:dyDescent="0.2">
      <c r="A189" s="42"/>
      <c r="B189" s="42"/>
      <c r="C189" s="42"/>
      <c r="D189" s="157">
        <f t="shared" si="1"/>
        <v>0</v>
      </c>
      <c r="E189" s="41"/>
      <c r="F189" s="230"/>
      <c r="G189" s="228"/>
      <c r="H189" s="229"/>
      <c r="I189" s="229"/>
      <c r="J189" s="229"/>
      <c r="K189" s="229"/>
    </row>
    <row r="190" spans="1:11" x14ac:dyDescent="0.2">
      <c r="A190" s="42"/>
      <c r="B190" s="42"/>
      <c r="C190" s="42"/>
      <c r="D190" s="157">
        <f t="shared" si="1"/>
        <v>0</v>
      </c>
      <c r="E190" s="41"/>
      <c r="F190" s="230"/>
      <c r="G190" s="228"/>
      <c r="H190" s="229"/>
      <c r="I190" s="229"/>
      <c r="J190" s="229"/>
      <c r="K190" s="229"/>
    </row>
    <row r="191" spans="1:11" x14ac:dyDescent="0.2">
      <c r="A191" s="42"/>
      <c r="B191" s="42"/>
      <c r="C191" s="42"/>
      <c r="D191" s="157">
        <f t="shared" si="1"/>
        <v>0</v>
      </c>
      <c r="E191" s="41"/>
      <c r="F191" s="230"/>
      <c r="G191" s="228"/>
      <c r="H191" s="229"/>
      <c r="I191" s="229"/>
      <c r="J191" s="229"/>
      <c r="K191" s="229"/>
    </row>
    <row r="192" spans="1:11" x14ac:dyDescent="0.2">
      <c r="A192" s="42"/>
      <c r="B192" s="42"/>
      <c r="C192" s="42"/>
      <c r="D192" s="157">
        <f t="shared" si="1"/>
        <v>0</v>
      </c>
      <c r="E192" s="41"/>
      <c r="F192" s="230"/>
      <c r="G192" s="228"/>
      <c r="H192" s="229"/>
      <c r="I192" s="229"/>
      <c r="J192" s="229"/>
      <c r="K192" s="229"/>
    </row>
    <row r="193" spans="1:11" x14ac:dyDescent="0.2">
      <c r="A193" s="42"/>
      <c r="B193" s="42"/>
      <c r="C193" s="42"/>
      <c r="D193" s="157">
        <f t="shared" si="1"/>
        <v>0</v>
      </c>
      <c r="E193" s="41"/>
      <c r="F193" s="230"/>
      <c r="G193" s="228"/>
      <c r="H193" s="229"/>
      <c r="I193" s="229"/>
      <c r="J193" s="229"/>
      <c r="K193" s="229"/>
    </row>
    <row r="194" spans="1:11" x14ac:dyDescent="0.2">
      <c r="A194" s="42"/>
      <c r="B194" s="42"/>
      <c r="C194" s="42"/>
      <c r="D194" s="157">
        <f t="shared" si="1"/>
        <v>0</v>
      </c>
      <c r="E194" s="41"/>
      <c r="F194" s="230"/>
      <c r="G194" s="228"/>
      <c r="H194" s="229"/>
      <c r="I194" s="229"/>
      <c r="J194" s="229"/>
      <c r="K194" s="229"/>
    </row>
    <row r="195" spans="1:11" x14ac:dyDescent="0.2">
      <c r="A195" s="42"/>
      <c r="B195" s="42"/>
      <c r="C195" s="42"/>
      <c r="D195" s="157">
        <f t="shared" si="1"/>
        <v>0</v>
      </c>
      <c r="E195" s="41"/>
      <c r="F195" s="230"/>
      <c r="G195" s="228"/>
      <c r="H195" s="229"/>
      <c r="I195" s="229"/>
      <c r="J195" s="229"/>
      <c r="K195" s="229"/>
    </row>
    <row r="196" spans="1:11" x14ac:dyDescent="0.2">
      <c r="A196" s="42"/>
      <c r="B196" s="42"/>
      <c r="C196" s="42"/>
      <c r="D196" s="157">
        <f t="shared" si="1"/>
        <v>0</v>
      </c>
      <c r="E196" s="41"/>
      <c r="F196" s="230"/>
      <c r="G196" s="228"/>
      <c r="H196" s="229"/>
      <c r="I196" s="229"/>
      <c r="J196" s="229"/>
      <c r="K196" s="229"/>
    </row>
    <row r="197" spans="1:11" x14ac:dyDescent="0.2">
      <c r="A197" s="42"/>
      <c r="B197" s="42"/>
      <c r="C197" s="42"/>
      <c r="D197" s="157">
        <f t="shared" si="1"/>
        <v>0</v>
      </c>
      <c r="E197" s="41"/>
      <c r="F197" s="230"/>
      <c r="G197" s="228"/>
      <c r="H197" s="229"/>
      <c r="I197" s="229"/>
      <c r="J197" s="229"/>
      <c r="K197" s="229"/>
    </row>
    <row r="198" spans="1:11" x14ac:dyDescent="0.2">
      <c r="A198" s="42"/>
      <c r="B198" s="42"/>
      <c r="C198" s="42"/>
      <c r="D198" s="157">
        <f t="shared" si="1"/>
        <v>0</v>
      </c>
      <c r="E198" s="41"/>
      <c r="F198" s="230"/>
      <c r="G198" s="228"/>
      <c r="H198" s="229"/>
      <c r="I198" s="229"/>
      <c r="J198" s="229"/>
      <c r="K198" s="229"/>
    </row>
    <row r="199" spans="1:11" x14ac:dyDescent="0.2">
      <c r="A199" s="42"/>
      <c r="B199" s="42"/>
      <c r="C199" s="42"/>
      <c r="D199" s="157">
        <f t="shared" si="1"/>
        <v>0</v>
      </c>
      <c r="E199" s="41"/>
      <c r="F199" s="230"/>
      <c r="G199" s="228"/>
      <c r="H199" s="229"/>
      <c r="I199" s="229"/>
      <c r="J199" s="229"/>
      <c r="K199" s="229"/>
    </row>
    <row r="200" spans="1:11" x14ac:dyDescent="0.2">
      <c r="A200" s="42"/>
      <c r="B200" s="42"/>
      <c r="C200" s="42"/>
      <c r="D200" s="157">
        <f t="shared" si="1"/>
        <v>0</v>
      </c>
      <c r="E200" s="41"/>
      <c r="F200" s="230"/>
      <c r="G200" s="228"/>
      <c r="H200" s="229"/>
      <c r="I200" s="229"/>
      <c r="J200" s="229"/>
      <c r="K200" s="229"/>
    </row>
    <row r="201" spans="1:11" x14ac:dyDescent="0.2">
      <c r="A201" s="42"/>
      <c r="B201" s="42"/>
      <c r="C201" s="42"/>
      <c r="D201" s="157">
        <f t="shared" si="1"/>
        <v>0</v>
      </c>
      <c r="E201" s="41"/>
      <c r="F201" s="230"/>
      <c r="G201" s="228"/>
      <c r="H201" s="229"/>
      <c r="I201" s="229"/>
      <c r="J201" s="229"/>
      <c r="K201" s="229"/>
    </row>
    <row r="202" spans="1:11" x14ac:dyDescent="0.2">
      <c r="A202" s="42"/>
      <c r="B202" s="42"/>
      <c r="C202" s="42"/>
      <c r="D202" s="157">
        <f t="shared" si="1"/>
        <v>0</v>
      </c>
      <c r="E202" s="41"/>
      <c r="F202" s="230"/>
      <c r="G202" s="228"/>
      <c r="H202" s="229"/>
      <c r="I202" s="229"/>
      <c r="J202" s="229"/>
      <c r="K202" s="229"/>
    </row>
    <row r="203" spans="1:11" x14ac:dyDescent="0.2">
      <c r="A203" s="42"/>
      <c r="B203" s="42"/>
      <c r="C203" s="42"/>
      <c r="D203" s="157">
        <f t="shared" si="1"/>
        <v>0</v>
      </c>
      <c r="E203" s="41"/>
      <c r="F203" s="230"/>
      <c r="G203" s="228"/>
      <c r="H203" s="229"/>
      <c r="I203" s="229"/>
      <c r="J203" s="229"/>
      <c r="K203" s="229"/>
    </row>
    <row r="204" spans="1:11" x14ac:dyDescent="0.2">
      <c r="A204" s="42"/>
      <c r="B204" s="42"/>
      <c r="C204" s="42"/>
      <c r="D204" s="157">
        <f t="shared" si="1"/>
        <v>0</v>
      </c>
      <c r="E204" s="41"/>
      <c r="F204" s="230"/>
      <c r="G204" s="228"/>
      <c r="H204" s="229"/>
      <c r="I204" s="229"/>
      <c r="J204" s="229"/>
      <c r="K204" s="229"/>
    </row>
    <row r="205" spans="1:11" x14ac:dyDescent="0.2">
      <c r="A205" s="42"/>
      <c r="B205" s="42"/>
      <c r="C205" s="42"/>
      <c r="D205" s="157">
        <f t="shared" si="1"/>
        <v>0</v>
      </c>
      <c r="E205" s="41"/>
      <c r="F205" s="230"/>
      <c r="G205" s="228"/>
      <c r="H205" s="229"/>
      <c r="I205" s="229"/>
      <c r="J205" s="229"/>
      <c r="K205" s="229"/>
    </row>
    <row r="206" spans="1:11" x14ac:dyDescent="0.2">
      <c r="A206" s="42"/>
      <c r="B206" s="42"/>
      <c r="C206" s="42"/>
      <c r="D206" s="157">
        <f t="shared" si="1"/>
        <v>0</v>
      </c>
      <c r="E206" s="41"/>
      <c r="F206" s="230"/>
      <c r="G206" s="228"/>
      <c r="H206" s="229"/>
      <c r="I206" s="229"/>
      <c r="J206" s="229"/>
      <c r="K206" s="229"/>
    </row>
    <row r="207" spans="1:11" x14ac:dyDescent="0.2">
      <c r="A207" s="42"/>
      <c r="B207" s="42"/>
      <c r="C207" s="42"/>
      <c r="D207" s="157">
        <f t="shared" si="1"/>
        <v>0</v>
      </c>
      <c r="E207" s="41"/>
      <c r="F207" s="230"/>
      <c r="G207" s="228"/>
      <c r="H207" s="229"/>
      <c r="I207" s="229"/>
      <c r="J207" s="229"/>
      <c r="K207" s="229"/>
    </row>
    <row r="208" spans="1:11" x14ac:dyDescent="0.2">
      <c r="A208" s="42"/>
      <c r="B208" s="42"/>
      <c r="C208" s="42"/>
      <c r="D208" s="157">
        <f t="shared" si="1"/>
        <v>0</v>
      </c>
      <c r="E208" s="41"/>
      <c r="F208" s="230"/>
      <c r="G208" s="228"/>
      <c r="H208" s="229"/>
      <c r="I208" s="229"/>
      <c r="J208" s="229"/>
      <c r="K208" s="229"/>
    </row>
    <row r="209" spans="1:11" x14ac:dyDescent="0.2">
      <c r="A209" s="42"/>
      <c r="B209" s="42"/>
      <c r="C209" s="42"/>
      <c r="D209" s="157">
        <f t="shared" si="1"/>
        <v>0</v>
      </c>
      <c r="E209" s="41"/>
      <c r="F209" s="230"/>
      <c r="G209" s="228"/>
      <c r="H209" s="229"/>
      <c r="I209" s="229"/>
      <c r="J209" s="229"/>
      <c r="K209" s="229"/>
    </row>
    <row r="210" spans="1:11" x14ac:dyDescent="0.2">
      <c r="A210" s="42"/>
      <c r="B210" s="42"/>
      <c r="C210" s="42"/>
      <c r="D210" s="157">
        <f t="shared" si="1"/>
        <v>0</v>
      </c>
      <c r="E210" s="41"/>
      <c r="F210" s="230"/>
      <c r="G210" s="228"/>
      <c r="H210" s="229"/>
      <c r="I210" s="229"/>
      <c r="J210" s="229"/>
      <c r="K210" s="229"/>
    </row>
    <row r="211" spans="1:11" x14ac:dyDescent="0.2">
      <c r="A211" s="42"/>
      <c r="B211" s="42"/>
      <c r="C211" s="42"/>
      <c r="D211" s="157">
        <f t="shared" si="1"/>
        <v>0</v>
      </c>
      <c r="E211" s="41"/>
      <c r="F211" s="230"/>
      <c r="G211" s="228"/>
      <c r="H211" s="229"/>
      <c r="I211" s="229"/>
      <c r="J211" s="229"/>
      <c r="K211" s="229"/>
    </row>
    <row r="212" spans="1:11" x14ac:dyDescent="0.2">
      <c r="A212" s="42"/>
      <c r="B212" s="42"/>
      <c r="C212" s="42"/>
      <c r="D212" s="157">
        <f t="shared" si="1"/>
        <v>0</v>
      </c>
      <c r="E212" s="41"/>
      <c r="F212" s="230"/>
      <c r="G212" s="228"/>
      <c r="H212" s="229"/>
      <c r="I212" s="229"/>
      <c r="J212" s="229"/>
      <c r="K212" s="229"/>
    </row>
    <row r="213" spans="1:11" x14ac:dyDescent="0.2">
      <c r="A213" s="42"/>
      <c r="B213" s="42"/>
      <c r="C213" s="42"/>
      <c r="D213" s="157">
        <f t="shared" si="1"/>
        <v>0</v>
      </c>
      <c r="E213" s="41"/>
      <c r="F213" s="230"/>
      <c r="G213" s="228"/>
      <c r="H213" s="229"/>
      <c r="I213" s="229"/>
      <c r="J213" s="229"/>
      <c r="K213" s="229"/>
    </row>
    <row r="214" spans="1:11" x14ac:dyDescent="0.2">
      <c r="A214" s="42"/>
      <c r="B214" s="42"/>
      <c r="C214" s="42"/>
      <c r="D214" s="157">
        <f t="shared" si="1"/>
        <v>0</v>
      </c>
      <c r="E214" s="41"/>
      <c r="F214" s="230"/>
      <c r="G214" s="228"/>
      <c r="H214" s="229"/>
      <c r="I214" s="229"/>
      <c r="J214" s="229"/>
      <c r="K214" s="229"/>
    </row>
    <row r="215" spans="1:11" x14ac:dyDescent="0.2">
      <c r="A215" s="42"/>
      <c r="B215" s="42"/>
      <c r="C215" s="42"/>
      <c r="D215" s="157">
        <f t="shared" si="1"/>
        <v>0</v>
      </c>
      <c r="E215" s="41"/>
      <c r="F215" s="230"/>
      <c r="G215" s="228"/>
      <c r="H215" s="229"/>
      <c r="I215" s="229"/>
      <c r="J215" s="229"/>
      <c r="K215" s="229"/>
    </row>
    <row r="216" spans="1:11" x14ac:dyDescent="0.2">
      <c r="A216" s="42"/>
      <c r="B216" s="42"/>
      <c r="C216" s="42"/>
      <c r="D216" s="157">
        <f t="shared" si="1"/>
        <v>0</v>
      </c>
      <c r="E216" s="41"/>
      <c r="F216" s="230"/>
      <c r="G216" s="228"/>
      <c r="H216" s="229"/>
      <c r="I216" s="229"/>
      <c r="J216" s="229"/>
      <c r="K216" s="229"/>
    </row>
    <row r="217" spans="1:11" x14ac:dyDescent="0.2">
      <c r="A217" s="42"/>
      <c r="B217" s="42"/>
      <c r="C217" s="42"/>
      <c r="D217" s="157">
        <f t="shared" si="1"/>
        <v>0</v>
      </c>
      <c r="E217" s="41"/>
      <c r="F217" s="230"/>
      <c r="G217" s="228"/>
      <c r="H217" s="229"/>
      <c r="I217" s="229"/>
      <c r="J217" s="229"/>
      <c r="K217" s="229"/>
    </row>
    <row r="218" spans="1:11" x14ac:dyDescent="0.2">
      <c r="A218" s="42"/>
      <c r="B218" s="42"/>
      <c r="C218" s="42"/>
      <c r="D218" s="157">
        <f t="shared" si="1"/>
        <v>0</v>
      </c>
      <c r="E218" s="41"/>
      <c r="F218" s="230"/>
      <c r="G218" s="228"/>
      <c r="H218" s="229"/>
      <c r="I218" s="229"/>
      <c r="J218" s="229"/>
      <c r="K218" s="229"/>
    </row>
    <row r="219" spans="1:11" x14ac:dyDescent="0.2">
      <c r="A219" s="42"/>
      <c r="B219" s="42"/>
      <c r="C219" s="42"/>
      <c r="D219" s="157">
        <f t="shared" si="1"/>
        <v>0</v>
      </c>
      <c r="E219" s="41"/>
      <c r="F219" s="230"/>
      <c r="G219" s="228"/>
      <c r="H219" s="229"/>
      <c r="I219" s="229"/>
      <c r="J219" s="229"/>
      <c r="K219" s="229"/>
    </row>
    <row r="220" spans="1:11" x14ac:dyDescent="0.2">
      <c r="A220" s="42"/>
      <c r="B220" s="42"/>
      <c r="C220" s="42"/>
      <c r="D220" s="157">
        <f t="shared" si="1"/>
        <v>0</v>
      </c>
      <c r="E220" s="41"/>
      <c r="F220" s="230"/>
      <c r="G220" s="228"/>
      <c r="H220" s="229"/>
      <c r="I220" s="229"/>
      <c r="J220" s="229"/>
      <c r="K220" s="229"/>
    </row>
    <row r="221" spans="1:11" x14ac:dyDescent="0.2">
      <c r="A221" s="42"/>
      <c r="B221" s="42"/>
      <c r="C221" s="42"/>
      <c r="D221" s="157">
        <f t="shared" si="1"/>
        <v>0</v>
      </c>
      <c r="E221" s="41"/>
      <c r="F221" s="230"/>
      <c r="G221" s="228"/>
      <c r="H221" s="229"/>
      <c r="I221" s="229"/>
      <c r="J221" s="229"/>
      <c r="K221" s="229"/>
    </row>
    <row r="222" spans="1:11" x14ac:dyDescent="0.2">
      <c r="A222" s="42"/>
      <c r="B222" s="42"/>
      <c r="C222" s="42"/>
      <c r="D222" s="157">
        <f t="shared" si="1"/>
        <v>0</v>
      </c>
      <c r="E222" s="41"/>
      <c r="F222" s="230"/>
      <c r="G222" s="228"/>
      <c r="H222" s="229"/>
      <c r="I222" s="229"/>
      <c r="J222" s="229"/>
      <c r="K222" s="229"/>
    </row>
    <row r="223" spans="1:11" x14ac:dyDescent="0.2">
      <c r="A223" s="42"/>
      <c r="B223" s="42"/>
      <c r="C223" s="42"/>
      <c r="D223" s="157">
        <f t="shared" si="1"/>
        <v>0</v>
      </c>
      <c r="E223" s="41"/>
      <c r="F223" s="230"/>
      <c r="G223" s="228"/>
      <c r="H223" s="229"/>
      <c r="I223" s="229"/>
      <c r="J223" s="229"/>
      <c r="K223" s="229"/>
    </row>
    <row r="224" spans="1:11" x14ac:dyDescent="0.2">
      <c r="A224" s="42"/>
      <c r="B224" s="42"/>
      <c r="C224" s="42"/>
      <c r="D224" s="157">
        <f t="shared" si="1"/>
        <v>0</v>
      </c>
      <c r="E224" s="41"/>
      <c r="F224" s="230"/>
      <c r="G224" s="228"/>
      <c r="H224" s="229"/>
      <c r="I224" s="229"/>
      <c r="J224" s="229"/>
      <c r="K224" s="229"/>
    </row>
    <row r="225" spans="1:11" x14ac:dyDescent="0.2">
      <c r="A225" s="42"/>
      <c r="B225" s="42"/>
      <c r="C225" s="42"/>
      <c r="D225" s="157">
        <f t="shared" si="1"/>
        <v>0</v>
      </c>
      <c r="E225" s="41"/>
      <c r="F225" s="230"/>
      <c r="G225" s="228"/>
      <c r="H225" s="229"/>
      <c r="I225" s="229"/>
      <c r="J225" s="229"/>
      <c r="K225" s="229"/>
    </row>
    <row r="226" spans="1:11" x14ac:dyDescent="0.2">
      <c r="A226" s="42"/>
      <c r="B226" s="42"/>
      <c r="C226" s="42"/>
      <c r="D226" s="157">
        <f t="shared" si="1"/>
        <v>0</v>
      </c>
      <c r="E226" s="41"/>
      <c r="F226" s="230"/>
      <c r="G226" s="228"/>
      <c r="H226" s="229"/>
      <c r="I226" s="229"/>
      <c r="J226" s="229"/>
      <c r="K226" s="229"/>
    </row>
    <row r="227" spans="1:11" x14ac:dyDescent="0.2">
      <c r="A227" s="42"/>
      <c r="B227" s="42"/>
      <c r="C227" s="42"/>
      <c r="D227" s="157">
        <f t="shared" si="1"/>
        <v>0</v>
      </c>
      <c r="E227" s="41"/>
      <c r="F227" s="230"/>
      <c r="G227" s="228"/>
      <c r="H227" s="229"/>
      <c r="I227" s="229"/>
      <c r="J227" s="229"/>
      <c r="K227" s="229"/>
    </row>
    <row r="228" spans="1:11" x14ac:dyDescent="0.2">
      <c r="A228" s="42"/>
      <c r="B228" s="42"/>
      <c r="C228" s="42"/>
      <c r="D228" s="157">
        <f t="shared" si="1"/>
        <v>0</v>
      </c>
      <c r="E228" s="41"/>
      <c r="F228" s="230"/>
      <c r="G228" s="228"/>
      <c r="H228" s="229"/>
      <c r="I228" s="229"/>
      <c r="J228" s="229"/>
      <c r="K228" s="229"/>
    </row>
    <row r="229" spans="1:11" x14ac:dyDescent="0.2">
      <c r="A229" s="42"/>
      <c r="B229" s="42"/>
      <c r="C229" s="42"/>
      <c r="D229" s="157">
        <f t="shared" si="1"/>
        <v>0</v>
      </c>
      <c r="E229" s="41"/>
      <c r="F229" s="230"/>
      <c r="G229" s="228"/>
      <c r="H229" s="229"/>
      <c r="I229" s="229"/>
      <c r="J229" s="229"/>
      <c r="K229" s="229"/>
    </row>
    <row r="230" spans="1:11" x14ac:dyDescent="0.2">
      <c r="A230" s="42"/>
      <c r="B230" s="42"/>
      <c r="C230" s="42"/>
      <c r="D230" s="157">
        <f t="shared" si="1"/>
        <v>0</v>
      </c>
      <c r="E230" s="41"/>
      <c r="F230" s="230"/>
      <c r="G230" s="228"/>
      <c r="H230" s="229"/>
      <c r="I230" s="229"/>
      <c r="J230" s="229"/>
      <c r="K230" s="229"/>
    </row>
    <row r="231" spans="1:11" x14ac:dyDescent="0.2">
      <c r="A231" s="42"/>
      <c r="B231" s="42"/>
      <c r="C231" s="42"/>
      <c r="D231" s="157">
        <f t="shared" si="1"/>
        <v>0</v>
      </c>
      <c r="E231" s="41"/>
      <c r="F231" s="230"/>
      <c r="G231" s="228"/>
      <c r="H231" s="229"/>
      <c r="I231" s="229"/>
      <c r="J231" s="229"/>
      <c r="K231" s="229"/>
    </row>
    <row r="232" spans="1:11" x14ac:dyDescent="0.2">
      <c r="A232" s="42"/>
      <c r="B232" s="42"/>
      <c r="C232" s="42"/>
      <c r="D232" s="157">
        <f t="shared" si="1"/>
        <v>0</v>
      </c>
      <c r="E232" s="41"/>
      <c r="F232" s="230"/>
      <c r="G232" s="228"/>
      <c r="H232" s="229"/>
      <c r="I232" s="229"/>
      <c r="J232" s="229"/>
      <c r="K232" s="229"/>
    </row>
    <row r="233" spans="1:11" x14ac:dyDescent="0.2">
      <c r="A233" s="42"/>
      <c r="B233" s="42"/>
      <c r="C233" s="42"/>
      <c r="D233" s="157">
        <f t="shared" si="1"/>
        <v>0</v>
      </c>
      <c r="E233" s="41"/>
      <c r="F233" s="230"/>
      <c r="G233" s="228"/>
      <c r="H233" s="229"/>
      <c r="I233" s="229"/>
      <c r="J233" s="229"/>
      <c r="K233" s="229"/>
    </row>
    <row r="234" spans="1:11" x14ac:dyDescent="0.2">
      <c r="A234" s="42"/>
      <c r="B234" s="42"/>
      <c r="C234" s="42"/>
      <c r="D234" s="157">
        <f t="shared" si="1"/>
        <v>0</v>
      </c>
      <c r="E234" s="41"/>
      <c r="F234" s="230"/>
      <c r="G234" s="228"/>
      <c r="H234" s="229"/>
      <c r="I234" s="229"/>
      <c r="J234" s="229"/>
      <c r="K234" s="229"/>
    </row>
    <row r="235" spans="1:11" x14ac:dyDescent="0.2">
      <c r="A235" s="42"/>
      <c r="B235" s="42"/>
      <c r="C235" s="42"/>
      <c r="D235" s="157">
        <f t="shared" si="1"/>
        <v>0</v>
      </c>
      <c r="E235" s="41"/>
      <c r="F235" s="230"/>
      <c r="G235" s="228"/>
      <c r="H235" s="229"/>
      <c r="I235" s="229"/>
      <c r="J235" s="229"/>
      <c r="K235" s="229"/>
    </row>
    <row r="236" spans="1:11" x14ac:dyDescent="0.2">
      <c r="A236" s="42"/>
      <c r="B236" s="42"/>
      <c r="C236" s="42"/>
      <c r="D236" s="157">
        <f t="shared" si="1"/>
        <v>0</v>
      </c>
      <c r="E236" s="41"/>
      <c r="F236" s="230"/>
      <c r="G236" s="228"/>
      <c r="H236" s="229"/>
      <c r="I236" s="229"/>
      <c r="J236" s="229"/>
      <c r="K236" s="229"/>
    </row>
    <row r="237" spans="1:11" x14ac:dyDescent="0.2">
      <c r="A237" s="42"/>
      <c r="B237" s="42"/>
      <c r="C237" s="42"/>
      <c r="D237" s="157">
        <f t="shared" si="1"/>
        <v>0</v>
      </c>
      <c r="E237" s="41"/>
      <c r="F237" s="230"/>
      <c r="G237" s="228"/>
      <c r="H237" s="229"/>
      <c r="I237" s="229"/>
      <c r="J237" s="229"/>
      <c r="K237" s="229"/>
    </row>
    <row r="238" spans="1:11" x14ac:dyDescent="0.2">
      <c r="A238" s="42"/>
      <c r="B238" s="42"/>
      <c r="C238" s="42"/>
      <c r="D238" s="157">
        <f t="shared" si="1"/>
        <v>0</v>
      </c>
      <c r="E238" s="41"/>
      <c r="F238" s="230"/>
      <c r="G238" s="228"/>
      <c r="H238" s="229"/>
      <c r="I238" s="229"/>
      <c r="J238" s="229"/>
      <c r="K238" s="229"/>
    </row>
    <row r="239" spans="1:11" x14ac:dyDescent="0.2">
      <c r="A239" s="42"/>
      <c r="B239" s="42"/>
      <c r="C239" s="42"/>
      <c r="D239" s="157">
        <f t="shared" si="1"/>
        <v>0</v>
      </c>
      <c r="E239" s="41"/>
      <c r="F239" s="230"/>
      <c r="G239" s="228"/>
      <c r="H239" s="229"/>
      <c r="I239" s="229"/>
      <c r="J239" s="229"/>
      <c r="K239" s="229"/>
    </row>
    <row r="240" spans="1:11" x14ac:dyDescent="0.2">
      <c r="A240" s="42"/>
      <c r="B240" s="42"/>
      <c r="C240" s="42"/>
      <c r="D240" s="157">
        <f t="shared" si="1"/>
        <v>0</v>
      </c>
      <c r="E240" s="41"/>
      <c r="F240" s="230"/>
      <c r="G240" s="228"/>
      <c r="H240" s="229"/>
      <c r="I240" s="229"/>
      <c r="J240" s="229"/>
      <c r="K240" s="229"/>
    </row>
    <row r="241" spans="1:11" x14ac:dyDescent="0.2">
      <c r="A241" s="42"/>
      <c r="B241" s="42"/>
      <c r="C241" s="42"/>
      <c r="D241" s="157">
        <f t="shared" si="1"/>
        <v>0</v>
      </c>
      <c r="E241" s="41"/>
      <c r="F241" s="230"/>
      <c r="G241" s="228"/>
      <c r="H241" s="229"/>
      <c r="I241" s="229"/>
      <c r="J241" s="229"/>
      <c r="K241" s="229"/>
    </row>
    <row r="242" spans="1:11" x14ac:dyDescent="0.2">
      <c r="A242" s="42"/>
      <c r="B242" s="42"/>
      <c r="C242" s="42"/>
      <c r="D242" s="157">
        <f t="shared" ref="D242:D308" si="2">B242*C242/10^6</f>
        <v>0</v>
      </c>
      <c r="E242" s="41"/>
      <c r="F242" s="230"/>
      <c r="G242" s="228"/>
      <c r="H242" s="229"/>
      <c r="I242" s="229"/>
      <c r="J242" s="229"/>
      <c r="K242" s="229"/>
    </row>
    <row r="243" spans="1:11" x14ac:dyDescent="0.2">
      <c r="A243" s="42"/>
      <c r="B243" s="42"/>
      <c r="C243" s="42"/>
      <c r="D243" s="157">
        <f t="shared" si="2"/>
        <v>0</v>
      </c>
      <c r="E243" s="41"/>
      <c r="F243" s="230"/>
      <c r="G243" s="228"/>
      <c r="H243" s="229"/>
      <c r="I243" s="229"/>
      <c r="J243" s="229"/>
      <c r="K243" s="229"/>
    </row>
    <row r="244" spans="1:11" x14ac:dyDescent="0.2">
      <c r="A244" s="42"/>
      <c r="B244" s="42"/>
      <c r="C244" s="42"/>
      <c r="D244" s="157">
        <f t="shared" si="2"/>
        <v>0</v>
      </c>
      <c r="E244" s="41"/>
      <c r="F244" s="230"/>
      <c r="G244" s="228"/>
      <c r="H244" s="229"/>
      <c r="I244" s="229"/>
      <c r="J244" s="229"/>
      <c r="K244" s="229"/>
    </row>
    <row r="245" spans="1:11" x14ac:dyDescent="0.2">
      <c r="A245" s="42"/>
      <c r="B245" s="42"/>
      <c r="C245" s="42"/>
      <c r="D245" s="157">
        <f t="shared" si="2"/>
        <v>0</v>
      </c>
      <c r="E245" s="41"/>
      <c r="F245" s="230"/>
      <c r="G245" s="228"/>
      <c r="H245" s="229"/>
      <c r="I245" s="229"/>
      <c r="J245" s="229"/>
      <c r="K245" s="229"/>
    </row>
    <row r="246" spans="1:11" x14ac:dyDescent="0.2">
      <c r="A246" s="42"/>
      <c r="B246" s="42"/>
      <c r="C246" s="42"/>
      <c r="D246" s="157">
        <f t="shared" si="2"/>
        <v>0</v>
      </c>
      <c r="E246" s="41"/>
      <c r="F246" s="230"/>
      <c r="G246" s="228"/>
      <c r="H246" s="229"/>
      <c r="I246" s="229"/>
      <c r="J246" s="229"/>
      <c r="K246" s="229"/>
    </row>
    <row r="247" spans="1:11" x14ac:dyDescent="0.2">
      <c r="A247" s="42"/>
      <c r="B247" s="42"/>
      <c r="C247" s="42"/>
      <c r="D247" s="157">
        <f t="shared" si="2"/>
        <v>0</v>
      </c>
      <c r="E247" s="41"/>
      <c r="F247" s="230"/>
      <c r="G247" s="228"/>
      <c r="H247" s="229"/>
      <c r="I247" s="229"/>
      <c r="J247" s="229"/>
      <c r="K247" s="229"/>
    </row>
    <row r="248" spans="1:11" x14ac:dyDescent="0.2">
      <c r="A248" s="42"/>
      <c r="B248" s="42"/>
      <c r="C248" s="42"/>
      <c r="D248" s="157">
        <f t="shared" si="2"/>
        <v>0</v>
      </c>
      <c r="E248" s="41"/>
      <c r="F248" s="230"/>
      <c r="G248" s="228"/>
      <c r="H248" s="229"/>
      <c r="I248" s="229"/>
      <c r="J248" s="229"/>
      <c r="K248" s="229"/>
    </row>
    <row r="249" spans="1:11" x14ac:dyDescent="0.2">
      <c r="A249" s="42"/>
      <c r="B249" s="42"/>
      <c r="C249" s="42"/>
      <c r="D249" s="157">
        <f t="shared" si="2"/>
        <v>0</v>
      </c>
      <c r="E249" s="41"/>
      <c r="F249" s="230"/>
      <c r="G249" s="228"/>
      <c r="H249" s="229"/>
      <c r="I249" s="229"/>
      <c r="J249" s="229"/>
      <c r="K249" s="229"/>
    </row>
    <row r="250" spans="1:11" x14ac:dyDescent="0.2">
      <c r="A250" s="42"/>
      <c r="B250" s="42"/>
      <c r="C250" s="42"/>
      <c r="D250" s="157">
        <f t="shared" si="2"/>
        <v>0</v>
      </c>
      <c r="E250" s="41"/>
      <c r="F250" s="230"/>
      <c r="G250" s="228"/>
      <c r="H250" s="229"/>
      <c r="I250" s="229"/>
      <c r="J250" s="229"/>
      <c r="K250" s="229"/>
    </row>
    <row r="251" spans="1:11" x14ac:dyDescent="0.2">
      <c r="A251" s="42"/>
      <c r="B251" s="42"/>
      <c r="C251" s="42"/>
      <c r="D251" s="157">
        <f t="shared" si="2"/>
        <v>0</v>
      </c>
      <c r="E251" s="41"/>
      <c r="F251" s="230"/>
      <c r="G251" s="228"/>
      <c r="H251" s="229"/>
      <c r="I251" s="229"/>
      <c r="J251" s="229"/>
      <c r="K251" s="229"/>
    </row>
    <row r="252" spans="1:11" x14ac:dyDescent="0.2">
      <c r="A252" s="42"/>
      <c r="B252" s="42"/>
      <c r="C252" s="42"/>
      <c r="D252" s="157">
        <f t="shared" si="2"/>
        <v>0</v>
      </c>
      <c r="E252" s="41"/>
      <c r="F252" s="230"/>
      <c r="G252" s="228"/>
      <c r="H252" s="229"/>
      <c r="I252" s="229"/>
      <c r="J252" s="229"/>
      <c r="K252" s="229"/>
    </row>
    <row r="253" spans="1:11" x14ac:dyDescent="0.2">
      <c r="A253" s="42"/>
      <c r="B253" s="42"/>
      <c r="C253" s="42"/>
      <c r="D253" s="157">
        <f t="shared" si="2"/>
        <v>0</v>
      </c>
      <c r="E253" s="41"/>
      <c r="F253" s="230"/>
      <c r="G253" s="228"/>
      <c r="H253" s="229"/>
      <c r="I253" s="229"/>
      <c r="J253" s="229"/>
      <c r="K253" s="229"/>
    </row>
    <row r="254" spans="1:11" x14ac:dyDescent="0.2">
      <c r="A254" s="42"/>
      <c r="B254" s="42"/>
      <c r="C254" s="42"/>
      <c r="D254" s="157">
        <f t="shared" si="2"/>
        <v>0</v>
      </c>
      <c r="E254" s="41"/>
      <c r="F254" s="230"/>
      <c r="G254" s="228"/>
      <c r="H254" s="229"/>
      <c r="I254" s="229"/>
      <c r="J254" s="229"/>
      <c r="K254" s="229"/>
    </row>
    <row r="255" spans="1:11" x14ac:dyDescent="0.2">
      <c r="A255" s="42"/>
      <c r="B255" s="42"/>
      <c r="C255" s="42"/>
      <c r="D255" s="157">
        <f t="shared" si="2"/>
        <v>0</v>
      </c>
      <c r="E255" s="41"/>
      <c r="F255" s="230"/>
      <c r="G255" s="228"/>
      <c r="H255" s="229"/>
      <c r="I255" s="229"/>
      <c r="J255" s="229"/>
      <c r="K255" s="229"/>
    </row>
    <row r="256" spans="1:11" x14ac:dyDescent="0.2">
      <c r="A256" s="42"/>
      <c r="B256" s="42"/>
      <c r="C256" s="42"/>
      <c r="D256" s="157">
        <f t="shared" si="2"/>
        <v>0</v>
      </c>
      <c r="E256" s="41"/>
      <c r="F256" s="230"/>
      <c r="G256" s="228"/>
      <c r="H256" s="229"/>
      <c r="I256" s="229"/>
      <c r="J256" s="229"/>
      <c r="K256" s="229"/>
    </row>
    <row r="257" spans="1:11" x14ac:dyDescent="0.2">
      <c r="A257" s="42"/>
      <c r="B257" s="42"/>
      <c r="C257" s="42"/>
      <c r="D257" s="157">
        <f t="shared" si="2"/>
        <v>0</v>
      </c>
      <c r="E257" s="41"/>
      <c r="F257" s="230"/>
      <c r="G257" s="228"/>
      <c r="H257" s="229"/>
      <c r="I257" s="229"/>
      <c r="J257" s="229"/>
      <c r="K257" s="229"/>
    </row>
    <row r="258" spans="1:11" x14ac:dyDescent="0.2">
      <c r="A258" s="42"/>
      <c r="B258" s="42"/>
      <c r="C258" s="42"/>
      <c r="D258" s="157">
        <f t="shared" si="2"/>
        <v>0</v>
      </c>
      <c r="E258" s="41"/>
      <c r="F258" s="230"/>
      <c r="G258" s="228"/>
      <c r="H258" s="229"/>
      <c r="I258" s="229"/>
      <c r="J258" s="229"/>
      <c r="K258" s="229"/>
    </row>
    <row r="259" spans="1:11" x14ac:dyDescent="0.2">
      <c r="A259" s="42"/>
      <c r="B259" s="42"/>
      <c r="C259" s="42"/>
      <c r="D259" s="157">
        <f t="shared" si="2"/>
        <v>0</v>
      </c>
      <c r="E259" s="41"/>
      <c r="F259" s="230"/>
      <c r="G259" s="228"/>
      <c r="H259" s="229"/>
      <c r="I259" s="229"/>
      <c r="J259" s="229"/>
      <c r="K259" s="229"/>
    </row>
    <row r="260" spans="1:11" x14ac:dyDescent="0.2">
      <c r="A260" s="42"/>
      <c r="B260" s="42"/>
      <c r="C260" s="42"/>
      <c r="D260" s="157">
        <f t="shared" si="2"/>
        <v>0</v>
      </c>
      <c r="E260" s="41"/>
      <c r="F260" s="230"/>
      <c r="G260" s="228"/>
      <c r="H260" s="229"/>
      <c r="I260" s="229"/>
      <c r="J260" s="229"/>
      <c r="K260" s="229"/>
    </row>
    <row r="261" spans="1:11" x14ac:dyDescent="0.2">
      <c r="A261" s="42"/>
      <c r="B261" s="42"/>
      <c r="C261" s="42"/>
      <c r="D261" s="157">
        <f t="shared" si="2"/>
        <v>0</v>
      </c>
      <c r="E261" s="41"/>
      <c r="F261" s="230"/>
      <c r="G261" s="228"/>
      <c r="H261" s="229"/>
      <c r="I261" s="229"/>
      <c r="J261" s="229"/>
      <c r="K261" s="229"/>
    </row>
    <row r="262" spans="1:11" x14ac:dyDescent="0.2">
      <c r="A262" s="42"/>
      <c r="B262" s="42"/>
      <c r="C262" s="42"/>
      <c r="D262" s="157">
        <f t="shared" si="2"/>
        <v>0</v>
      </c>
      <c r="E262" s="41"/>
      <c r="F262" s="230"/>
      <c r="G262" s="228"/>
      <c r="H262" s="229"/>
      <c r="I262" s="229"/>
      <c r="J262" s="229"/>
      <c r="K262" s="229"/>
    </row>
    <row r="263" spans="1:11" x14ac:dyDescent="0.2">
      <c r="A263" s="42"/>
      <c r="B263" s="42"/>
      <c r="C263" s="42"/>
      <c r="D263" s="157">
        <f t="shared" si="2"/>
        <v>0</v>
      </c>
      <c r="E263" s="41"/>
      <c r="F263" s="230"/>
      <c r="G263" s="228"/>
      <c r="H263" s="229"/>
      <c r="I263" s="229"/>
      <c r="J263" s="229"/>
      <c r="K263" s="229"/>
    </row>
    <row r="264" spans="1:11" x14ac:dyDescent="0.2">
      <c r="A264" s="42"/>
      <c r="B264" s="42"/>
      <c r="C264" s="42"/>
      <c r="D264" s="157">
        <f t="shared" si="2"/>
        <v>0</v>
      </c>
      <c r="E264" s="41"/>
      <c r="F264" s="230"/>
      <c r="G264" s="228"/>
      <c r="H264" s="229"/>
      <c r="I264" s="229"/>
      <c r="J264" s="229"/>
      <c r="K264" s="229"/>
    </row>
    <row r="265" spans="1:11" x14ac:dyDescent="0.2">
      <c r="A265" s="42"/>
      <c r="B265" s="42"/>
      <c r="C265" s="42"/>
      <c r="D265" s="157">
        <f t="shared" si="2"/>
        <v>0</v>
      </c>
      <c r="E265" s="41"/>
      <c r="F265" s="230"/>
      <c r="G265" s="228"/>
      <c r="H265" s="229"/>
      <c r="I265" s="229"/>
      <c r="J265" s="229"/>
      <c r="K265" s="229"/>
    </row>
    <row r="266" spans="1:11" x14ac:dyDescent="0.2">
      <c r="A266" s="42"/>
      <c r="B266" s="42"/>
      <c r="C266" s="42"/>
      <c r="D266" s="157">
        <f t="shared" si="2"/>
        <v>0</v>
      </c>
      <c r="E266" s="41"/>
      <c r="F266" s="230"/>
      <c r="G266" s="228"/>
      <c r="H266" s="229"/>
      <c r="I266" s="229"/>
      <c r="J266" s="229"/>
      <c r="K266" s="229"/>
    </row>
    <row r="267" spans="1:11" x14ac:dyDescent="0.2">
      <c r="A267" s="42"/>
      <c r="B267" s="42"/>
      <c r="C267" s="42"/>
      <c r="D267" s="157">
        <f t="shared" si="2"/>
        <v>0</v>
      </c>
      <c r="E267" s="41"/>
      <c r="F267" s="230"/>
      <c r="G267" s="228"/>
      <c r="H267" s="229"/>
      <c r="I267" s="229"/>
      <c r="J267" s="229"/>
      <c r="K267" s="229"/>
    </row>
    <row r="268" spans="1:11" x14ac:dyDescent="0.2">
      <c r="A268" s="42"/>
      <c r="B268" s="42"/>
      <c r="C268" s="42"/>
      <c r="D268" s="157">
        <f t="shared" si="2"/>
        <v>0</v>
      </c>
      <c r="E268" s="41"/>
      <c r="F268" s="230"/>
      <c r="G268" s="228"/>
      <c r="H268" s="229"/>
      <c r="I268" s="229"/>
      <c r="J268" s="229"/>
      <c r="K268" s="229"/>
    </row>
    <row r="269" spans="1:11" x14ac:dyDescent="0.2">
      <c r="A269" s="42"/>
      <c r="B269" s="42"/>
      <c r="C269" s="42"/>
      <c r="D269" s="157">
        <f t="shared" si="2"/>
        <v>0</v>
      </c>
      <c r="E269" s="41"/>
      <c r="F269" s="230"/>
      <c r="G269" s="228"/>
      <c r="H269" s="229"/>
      <c r="I269" s="229"/>
      <c r="J269" s="229"/>
      <c r="K269" s="229"/>
    </row>
    <row r="270" spans="1:11" x14ac:dyDescent="0.2">
      <c r="A270" s="42"/>
      <c r="B270" s="42"/>
      <c r="C270" s="42"/>
      <c r="D270" s="157">
        <f t="shared" si="2"/>
        <v>0</v>
      </c>
      <c r="E270" s="41"/>
      <c r="F270" s="230"/>
      <c r="G270" s="228"/>
      <c r="H270" s="229"/>
      <c r="I270" s="229"/>
      <c r="J270" s="229"/>
      <c r="K270" s="229"/>
    </row>
    <row r="271" spans="1:11" x14ac:dyDescent="0.2">
      <c r="A271" s="42"/>
      <c r="B271" s="42"/>
      <c r="C271" s="42"/>
      <c r="D271" s="157">
        <f t="shared" si="2"/>
        <v>0</v>
      </c>
      <c r="E271" s="41"/>
      <c r="F271" s="230"/>
      <c r="G271" s="228"/>
      <c r="H271" s="229"/>
      <c r="I271" s="229"/>
      <c r="J271" s="229"/>
      <c r="K271" s="229"/>
    </row>
    <row r="272" spans="1:11" x14ac:dyDescent="0.2">
      <c r="A272" s="42"/>
      <c r="B272" s="42"/>
      <c r="C272" s="42"/>
      <c r="D272" s="157">
        <f t="shared" si="2"/>
        <v>0</v>
      </c>
      <c r="E272" s="41"/>
      <c r="F272" s="230"/>
      <c r="G272" s="228"/>
      <c r="H272" s="229"/>
      <c r="I272" s="229"/>
      <c r="J272" s="229"/>
      <c r="K272" s="229"/>
    </row>
    <row r="273" spans="1:11" x14ac:dyDescent="0.2">
      <c r="A273" s="42"/>
      <c r="B273" s="42"/>
      <c r="C273" s="42"/>
      <c r="D273" s="157">
        <f t="shared" si="2"/>
        <v>0</v>
      </c>
      <c r="E273" s="41"/>
      <c r="F273" s="230"/>
      <c r="G273" s="228"/>
      <c r="H273" s="229"/>
      <c r="I273" s="229"/>
      <c r="J273" s="229"/>
      <c r="K273" s="229"/>
    </row>
    <row r="274" spans="1:11" x14ac:dyDescent="0.2">
      <c r="A274" s="42"/>
      <c r="B274" s="42"/>
      <c r="C274" s="42"/>
      <c r="D274" s="157">
        <f t="shared" si="2"/>
        <v>0</v>
      </c>
      <c r="E274" s="41"/>
      <c r="F274" s="230"/>
      <c r="G274" s="228"/>
      <c r="H274" s="229"/>
      <c r="I274" s="229"/>
      <c r="J274" s="229"/>
      <c r="K274" s="229"/>
    </row>
    <row r="275" spans="1:11" x14ac:dyDescent="0.2">
      <c r="A275" s="42"/>
      <c r="B275" s="42"/>
      <c r="C275" s="42"/>
      <c r="D275" s="157">
        <f t="shared" si="2"/>
        <v>0</v>
      </c>
      <c r="E275" s="41"/>
      <c r="F275" s="230"/>
      <c r="G275" s="228"/>
      <c r="H275" s="229"/>
      <c r="I275" s="229"/>
      <c r="J275" s="229"/>
      <c r="K275" s="229"/>
    </row>
    <row r="276" spans="1:11" x14ac:dyDescent="0.2">
      <c r="A276" s="42"/>
      <c r="B276" s="42"/>
      <c r="C276" s="42"/>
      <c r="D276" s="157">
        <f t="shared" si="2"/>
        <v>0</v>
      </c>
      <c r="E276" s="41"/>
      <c r="F276" s="230"/>
      <c r="G276" s="228"/>
      <c r="H276" s="229"/>
      <c r="I276" s="229"/>
      <c r="J276" s="229"/>
      <c r="K276" s="229"/>
    </row>
    <row r="277" spans="1:11" x14ac:dyDescent="0.2">
      <c r="A277" s="42"/>
      <c r="B277" s="42"/>
      <c r="C277" s="42"/>
      <c r="D277" s="157">
        <f t="shared" si="2"/>
        <v>0</v>
      </c>
      <c r="E277" s="41"/>
      <c r="F277" s="230"/>
      <c r="G277" s="228"/>
      <c r="H277" s="229"/>
      <c r="I277" s="229"/>
      <c r="J277" s="229"/>
      <c r="K277" s="229"/>
    </row>
    <row r="278" spans="1:11" x14ac:dyDescent="0.2">
      <c r="A278" s="42"/>
      <c r="B278" s="42"/>
      <c r="C278" s="42"/>
      <c r="D278" s="157">
        <f t="shared" si="2"/>
        <v>0</v>
      </c>
      <c r="E278" s="41"/>
      <c r="F278" s="230"/>
      <c r="G278" s="228"/>
      <c r="H278" s="229"/>
      <c r="I278" s="229"/>
      <c r="J278" s="229"/>
      <c r="K278" s="229"/>
    </row>
    <row r="279" spans="1:11" x14ac:dyDescent="0.2">
      <c r="A279" s="42"/>
      <c r="B279" s="42"/>
      <c r="C279" s="42"/>
      <c r="D279" s="157">
        <f t="shared" si="2"/>
        <v>0</v>
      </c>
      <c r="E279" s="41"/>
      <c r="F279" s="230"/>
      <c r="G279" s="228"/>
      <c r="H279" s="229"/>
      <c r="I279" s="229"/>
      <c r="J279" s="229"/>
      <c r="K279" s="229"/>
    </row>
    <row r="280" spans="1:11" x14ac:dyDescent="0.2">
      <c r="A280" s="42"/>
      <c r="B280" s="42"/>
      <c r="C280" s="42"/>
      <c r="D280" s="157">
        <f t="shared" si="2"/>
        <v>0</v>
      </c>
      <c r="E280" s="41"/>
      <c r="F280" s="230"/>
      <c r="G280" s="228"/>
      <c r="H280" s="229"/>
      <c r="I280" s="229"/>
      <c r="J280" s="229"/>
      <c r="K280" s="229"/>
    </row>
    <row r="281" spans="1:11" x14ac:dyDescent="0.2">
      <c r="A281" s="42"/>
      <c r="B281" s="42"/>
      <c r="C281" s="42"/>
      <c r="D281" s="157">
        <f t="shared" si="2"/>
        <v>0</v>
      </c>
      <c r="E281" s="41"/>
      <c r="F281" s="230"/>
      <c r="G281" s="228"/>
      <c r="H281" s="229"/>
      <c r="I281" s="229"/>
      <c r="J281" s="229"/>
      <c r="K281" s="229"/>
    </row>
    <row r="282" spans="1:11" x14ac:dyDescent="0.2">
      <c r="A282" s="42"/>
      <c r="B282" s="42"/>
      <c r="C282" s="42"/>
      <c r="D282" s="157">
        <f t="shared" si="2"/>
        <v>0</v>
      </c>
      <c r="E282" s="41"/>
      <c r="F282" s="230"/>
      <c r="G282" s="228"/>
      <c r="H282" s="229"/>
      <c r="I282" s="229"/>
      <c r="J282" s="229"/>
      <c r="K282" s="229"/>
    </row>
    <row r="283" spans="1:11" x14ac:dyDescent="0.2">
      <c r="A283" s="42"/>
      <c r="B283" s="42"/>
      <c r="C283" s="42"/>
      <c r="D283" s="157">
        <f t="shared" si="2"/>
        <v>0</v>
      </c>
      <c r="E283" s="41"/>
      <c r="F283" s="230"/>
      <c r="G283" s="228"/>
      <c r="H283" s="229"/>
      <c r="I283" s="229"/>
      <c r="J283" s="229"/>
      <c r="K283" s="229"/>
    </row>
    <row r="284" spans="1:11" x14ac:dyDescent="0.2">
      <c r="A284" s="42"/>
      <c r="B284" s="42"/>
      <c r="C284" s="42"/>
      <c r="D284" s="157">
        <f t="shared" si="2"/>
        <v>0</v>
      </c>
      <c r="E284" s="41"/>
      <c r="F284" s="230"/>
      <c r="G284" s="228"/>
      <c r="H284" s="229"/>
      <c r="I284" s="229"/>
      <c r="J284" s="229"/>
      <c r="K284" s="229"/>
    </row>
    <row r="285" spans="1:11" x14ac:dyDescent="0.2">
      <c r="A285" s="42"/>
      <c r="B285" s="42"/>
      <c r="C285" s="42"/>
      <c r="D285" s="157">
        <f t="shared" si="2"/>
        <v>0</v>
      </c>
      <c r="E285" s="41"/>
      <c r="F285" s="230"/>
      <c r="G285" s="228"/>
      <c r="H285" s="229"/>
      <c r="I285" s="229"/>
      <c r="J285" s="229"/>
      <c r="K285" s="229"/>
    </row>
    <row r="286" spans="1:11" x14ac:dyDescent="0.2">
      <c r="A286" s="42"/>
      <c r="B286" s="42"/>
      <c r="C286" s="42"/>
      <c r="D286" s="157">
        <f t="shared" si="2"/>
        <v>0</v>
      </c>
      <c r="E286" s="41"/>
      <c r="F286" s="230"/>
      <c r="G286" s="228"/>
      <c r="H286" s="229"/>
      <c r="I286" s="229"/>
      <c r="J286" s="229"/>
      <c r="K286" s="229"/>
    </row>
    <row r="287" spans="1:11" x14ac:dyDescent="0.2">
      <c r="A287" s="42"/>
      <c r="B287" s="42"/>
      <c r="C287" s="42"/>
      <c r="D287" s="157">
        <f t="shared" ref="D287:D295" si="3">B287*C287/10^6</f>
        <v>0</v>
      </c>
      <c r="E287" s="41"/>
      <c r="F287" s="230"/>
      <c r="G287" s="228"/>
      <c r="H287" s="229"/>
      <c r="I287" s="229"/>
      <c r="J287" s="229"/>
      <c r="K287" s="229"/>
    </row>
    <row r="288" spans="1:11" x14ac:dyDescent="0.2">
      <c r="A288" s="42"/>
      <c r="B288" s="42"/>
      <c r="C288" s="42"/>
      <c r="D288" s="157">
        <f t="shared" si="3"/>
        <v>0</v>
      </c>
      <c r="E288" s="41"/>
      <c r="F288" s="230"/>
      <c r="G288" s="228"/>
      <c r="H288" s="229"/>
      <c r="I288" s="229"/>
      <c r="J288" s="229"/>
      <c r="K288" s="229"/>
    </row>
    <row r="289" spans="1:11" x14ac:dyDescent="0.2">
      <c r="A289" s="42"/>
      <c r="B289" s="42"/>
      <c r="C289" s="42"/>
      <c r="D289" s="157">
        <f t="shared" si="3"/>
        <v>0</v>
      </c>
      <c r="E289" s="41"/>
      <c r="F289" s="230"/>
      <c r="G289" s="228"/>
      <c r="H289" s="229"/>
      <c r="I289" s="229"/>
      <c r="J289" s="229"/>
      <c r="K289" s="229"/>
    </row>
    <row r="290" spans="1:11" x14ac:dyDescent="0.2">
      <c r="A290" s="42"/>
      <c r="B290" s="42"/>
      <c r="C290" s="42"/>
      <c r="D290" s="157">
        <f t="shared" si="3"/>
        <v>0</v>
      </c>
      <c r="E290" s="41"/>
      <c r="F290" s="230"/>
      <c r="G290" s="228"/>
      <c r="H290" s="229"/>
      <c r="I290" s="229"/>
      <c r="J290" s="229"/>
      <c r="K290" s="229"/>
    </row>
    <row r="291" spans="1:11" x14ac:dyDescent="0.2">
      <c r="A291" s="42"/>
      <c r="B291" s="42"/>
      <c r="C291" s="42"/>
      <c r="D291" s="157">
        <f t="shared" si="3"/>
        <v>0</v>
      </c>
      <c r="E291" s="41"/>
      <c r="F291" s="230"/>
      <c r="G291" s="228"/>
      <c r="H291" s="229"/>
      <c r="I291" s="229"/>
      <c r="J291" s="229"/>
      <c r="K291" s="229"/>
    </row>
    <row r="292" spans="1:11" x14ac:dyDescent="0.2">
      <c r="A292" s="42"/>
      <c r="B292" s="42"/>
      <c r="C292" s="42"/>
      <c r="D292" s="157">
        <f t="shared" si="3"/>
        <v>0</v>
      </c>
      <c r="E292" s="41"/>
      <c r="F292" s="230"/>
      <c r="G292" s="228"/>
      <c r="H292" s="229"/>
      <c r="I292" s="229"/>
      <c r="J292" s="229"/>
      <c r="K292" s="229"/>
    </row>
    <row r="293" spans="1:11" x14ac:dyDescent="0.2">
      <c r="A293" s="42"/>
      <c r="B293" s="42"/>
      <c r="C293" s="42"/>
      <c r="D293" s="157">
        <f t="shared" si="3"/>
        <v>0</v>
      </c>
      <c r="E293" s="41"/>
      <c r="F293" s="230"/>
      <c r="G293" s="228"/>
      <c r="H293" s="229"/>
      <c r="I293" s="229"/>
      <c r="J293" s="229"/>
      <c r="K293" s="229"/>
    </row>
    <row r="294" spans="1:11" x14ac:dyDescent="0.2">
      <c r="A294" s="42"/>
      <c r="B294" s="42"/>
      <c r="C294" s="42"/>
      <c r="D294" s="157">
        <f t="shared" si="3"/>
        <v>0</v>
      </c>
      <c r="E294" s="41"/>
      <c r="F294" s="230"/>
      <c r="G294" s="228"/>
      <c r="H294" s="229"/>
      <c r="I294" s="229"/>
      <c r="J294" s="229"/>
      <c r="K294" s="229"/>
    </row>
    <row r="295" spans="1:11" x14ac:dyDescent="0.2">
      <c r="A295" s="42"/>
      <c r="B295" s="42"/>
      <c r="C295" s="42"/>
      <c r="D295" s="157">
        <f t="shared" si="3"/>
        <v>0</v>
      </c>
      <c r="E295" s="41"/>
      <c r="F295" s="230"/>
      <c r="G295" s="228"/>
      <c r="H295" s="229"/>
      <c r="I295" s="229"/>
      <c r="J295" s="229"/>
      <c r="K295" s="229"/>
    </row>
    <row r="296" spans="1:11" x14ac:dyDescent="0.2">
      <c r="A296" s="42"/>
      <c r="B296" s="42"/>
      <c r="C296" s="42"/>
      <c r="D296" s="157">
        <f t="shared" si="2"/>
        <v>0</v>
      </c>
      <c r="E296" s="41"/>
      <c r="F296" s="230"/>
      <c r="G296" s="228"/>
      <c r="H296" s="229"/>
      <c r="I296" s="229"/>
      <c r="J296" s="229"/>
      <c r="K296" s="229"/>
    </row>
    <row r="297" spans="1:11" x14ac:dyDescent="0.2">
      <c r="A297" s="42"/>
      <c r="B297" s="42"/>
      <c r="C297" s="42"/>
      <c r="D297" s="157">
        <f t="shared" si="2"/>
        <v>0</v>
      </c>
      <c r="E297" s="41"/>
      <c r="F297" s="230"/>
      <c r="G297" s="228"/>
      <c r="H297" s="229"/>
      <c r="I297" s="229"/>
      <c r="J297" s="229"/>
      <c r="K297" s="229"/>
    </row>
    <row r="298" spans="1:11" x14ac:dyDescent="0.2">
      <c r="A298" s="42"/>
      <c r="B298" s="42"/>
      <c r="C298" s="42"/>
      <c r="D298" s="157">
        <f t="shared" si="2"/>
        <v>0</v>
      </c>
      <c r="E298" s="41"/>
      <c r="F298" s="230"/>
      <c r="G298" s="228"/>
      <c r="H298" s="229"/>
      <c r="I298" s="229"/>
      <c r="J298" s="229"/>
      <c r="K298" s="229"/>
    </row>
    <row r="299" spans="1:11" x14ac:dyDescent="0.2">
      <c r="A299" s="42"/>
      <c r="B299" s="42"/>
      <c r="C299" s="42"/>
      <c r="D299" s="157">
        <f t="shared" si="2"/>
        <v>0</v>
      </c>
      <c r="E299" s="41"/>
      <c r="F299" s="230"/>
      <c r="G299" s="228"/>
      <c r="H299" s="229"/>
      <c r="I299" s="229"/>
      <c r="J299" s="229"/>
      <c r="K299" s="229"/>
    </row>
    <row r="300" spans="1:11" x14ac:dyDescent="0.2">
      <c r="A300" s="42"/>
      <c r="B300" s="42"/>
      <c r="C300" s="42"/>
      <c r="D300" s="157">
        <f t="shared" si="2"/>
        <v>0</v>
      </c>
      <c r="E300" s="41"/>
      <c r="F300" s="230"/>
      <c r="G300" s="228"/>
      <c r="H300" s="229"/>
      <c r="I300" s="229"/>
      <c r="J300" s="229"/>
      <c r="K300" s="229"/>
    </row>
    <row r="301" spans="1:11" x14ac:dyDescent="0.2">
      <c r="A301" s="42"/>
      <c r="B301" s="42"/>
      <c r="C301" s="42"/>
      <c r="D301" s="157">
        <f t="shared" si="2"/>
        <v>0</v>
      </c>
      <c r="E301" s="41"/>
      <c r="F301" s="230"/>
      <c r="G301" s="228"/>
      <c r="H301" s="229"/>
      <c r="I301" s="229"/>
      <c r="J301" s="229"/>
      <c r="K301" s="229"/>
    </row>
    <row r="302" spans="1:11" x14ac:dyDescent="0.2">
      <c r="A302" s="42"/>
      <c r="B302" s="42"/>
      <c r="C302" s="42"/>
      <c r="D302" s="157">
        <f t="shared" si="2"/>
        <v>0</v>
      </c>
      <c r="E302" s="41"/>
      <c r="F302" s="230"/>
      <c r="G302" s="228"/>
      <c r="H302" s="229"/>
      <c r="I302" s="229"/>
      <c r="J302" s="229"/>
      <c r="K302" s="229"/>
    </row>
    <row r="303" spans="1:11" x14ac:dyDescent="0.2">
      <c r="A303" s="42"/>
      <c r="B303" s="42"/>
      <c r="C303" s="42"/>
      <c r="D303" s="157">
        <f t="shared" si="2"/>
        <v>0</v>
      </c>
      <c r="E303" s="41"/>
      <c r="F303" s="230"/>
      <c r="G303" s="228"/>
      <c r="H303" s="229"/>
      <c r="I303" s="229"/>
      <c r="J303" s="229"/>
      <c r="K303" s="229"/>
    </row>
    <row r="304" spans="1:11" x14ac:dyDescent="0.2">
      <c r="A304" s="42"/>
      <c r="B304" s="42"/>
      <c r="C304" s="42"/>
      <c r="D304" s="157">
        <f t="shared" si="2"/>
        <v>0</v>
      </c>
      <c r="E304" s="41"/>
      <c r="F304" s="230"/>
      <c r="G304" s="228"/>
      <c r="H304" s="229"/>
      <c r="I304" s="229"/>
      <c r="J304" s="229"/>
      <c r="K304" s="229"/>
    </row>
    <row r="305" spans="1:11" x14ac:dyDescent="0.2">
      <c r="A305" s="42"/>
      <c r="B305" s="42"/>
      <c r="C305" s="42"/>
      <c r="D305" s="157">
        <f t="shared" si="2"/>
        <v>0</v>
      </c>
      <c r="E305" s="41"/>
      <c r="F305" s="230"/>
      <c r="G305" s="228"/>
      <c r="H305" s="229"/>
      <c r="I305" s="229"/>
      <c r="J305" s="229"/>
      <c r="K305" s="229"/>
    </row>
    <row r="306" spans="1:11" x14ac:dyDescent="0.2">
      <c r="A306" s="42"/>
      <c r="B306" s="42"/>
      <c r="C306" s="42"/>
      <c r="D306" s="157">
        <f t="shared" si="2"/>
        <v>0</v>
      </c>
      <c r="E306" s="41"/>
      <c r="F306" s="230"/>
      <c r="G306" s="228"/>
      <c r="H306" s="229"/>
      <c r="I306" s="229"/>
      <c r="J306" s="229"/>
      <c r="K306" s="229"/>
    </row>
    <row r="307" spans="1:11" x14ac:dyDescent="0.2">
      <c r="A307" s="42"/>
      <c r="B307" s="42"/>
      <c r="C307" s="42"/>
      <c r="D307" s="157">
        <f t="shared" si="2"/>
        <v>0</v>
      </c>
      <c r="E307" s="41"/>
      <c r="F307" s="230"/>
      <c r="G307" s="228"/>
      <c r="H307" s="229"/>
      <c r="I307" s="229"/>
      <c r="J307" s="229"/>
      <c r="K307" s="229"/>
    </row>
    <row r="308" spans="1:11" x14ac:dyDescent="0.2">
      <c r="A308" s="43"/>
      <c r="B308" s="43"/>
      <c r="C308" s="43"/>
      <c r="D308" s="158">
        <f t="shared" si="2"/>
        <v>0</v>
      </c>
      <c r="E308" s="107"/>
      <c r="F308" s="231"/>
      <c r="G308" s="232"/>
      <c r="H308" s="233"/>
      <c r="I308" s="233"/>
      <c r="J308" s="233"/>
      <c r="K308" s="233"/>
    </row>
    <row r="309" spans="1:11" s="46" customFormat="1" hidden="1" x14ac:dyDescent="0.2">
      <c r="A309" s="25"/>
      <c r="B309" s="25"/>
      <c r="C309" s="25"/>
      <c r="D309" s="159"/>
      <c r="E309" s="44" t="s">
        <v>221</v>
      </c>
      <c r="F309" s="25" t="s">
        <v>221</v>
      </c>
      <c r="G309" s="17"/>
      <c r="H309" s="25"/>
      <c r="I309" s="45"/>
      <c r="J309" s="45"/>
      <c r="K309" s="45"/>
    </row>
    <row r="310" spans="1:11" s="52" customFormat="1" x14ac:dyDescent="0.2">
      <c r="A310" s="48"/>
      <c r="B310" s="48"/>
      <c r="C310" s="48"/>
      <c r="D310" s="50"/>
      <c r="E310" s="49"/>
      <c r="F310" s="48"/>
      <c r="G310" s="50"/>
      <c r="H310" s="48"/>
      <c r="I310" s="50"/>
      <c r="J310" s="51"/>
      <c r="K310" s="50"/>
    </row>
    <row r="311" spans="1:11" x14ac:dyDescent="0.2">
      <c r="A311" s="20" t="s">
        <v>279</v>
      </c>
      <c r="B311" s="31"/>
      <c r="C311" s="20"/>
      <c r="D311" s="18"/>
      <c r="E311" s="33">
        <f>SUM(E9:E308)</f>
        <v>0</v>
      </c>
      <c r="F311" s="20"/>
    </row>
    <row r="312" spans="1:11" x14ac:dyDescent="0.2">
      <c r="A312" s="20"/>
      <c r="B312" s="31"/>
      <c r="C312" s="20"/>
      <c r="D312" s="18"/>
      <c r="E312" s="20"/>
      <c r="F312" s="20"/>
      <c r="G312" s="20"/>
    </row>
    <row r="313" spans="1:11" x14ac:dyDescent="0.2">
      <c r="A313" s="20" t="s">
        <v>10</v>
      </c>
      <c r="B313" s="31"/>
      <c r="C313" s="20"/>
      <c r="D313" s="18"/>
      <c r="E313" s="20"/>
      <c r="F313" s="20"/>
      <c r="G313" s="20"/>
    </row>
    <row r="314" spans="1:11" x14ac:dyDescent="0.2">
      <c r="E314" s="47"/>
      <c r="F314" s="47"/>
    </row>
    <row r="315" spans="1:11" x14ac:dyDescent="0.2">
      <c r="E315" s="47"/>
      <c r="F315" s="47"/>
    </row>
    <row r="316" spans="1:11" x14ac:dyDescent="0.2">
      <c r="B316" s="105"/>
      <c r="C316" s="104" t="s">
        <v>808</v>
      </c>
      <c r="D316" s="18"/>
    </row>
    <row r="317" spans="1:11" x14ac:dyDescent="0.2">
      <c r="B317" s="152"/>
      <c r="C317" s="104" t="s">
        <v>807</v>
      </c>
      <c r="D317" s="20"/>
    </row>
    <row r="318" spans="1:11" x14ac:dyDescent="0.2">
      <c r="B318" s="235"/>
      <c r="C318" s="104" t="s">
        <v>873</v>
      </c>
    </row>
  </sheetData>
  <sheetProtection sheet="1" objects="1" scenarios="1" formatCells="0" formatColumns="0" formatRows="0" insertRows="0" insertHyperlinks="0" deleteColumns="0" deleteRows="0" sort="0" autoFilter="0" pivotTables="0"/>
  <mergeCells count="12">
    <mergeCell ref="B3:G3"/>
    <mergeCell ref="I7:I8"/>
    <mergeCell ref="K7:K8"/>
    <mergeCell ref="J7:J8"/>
    <mergeCell ref="B4:G4"/>
    <mergeCell ref="A7:A8"/>
    <mergeCell ref="B7:C7"/>
    <mergeCell ref="D7:D8"/>
    <mergeCell ref="H7:H8"/>
    <mergeCell ref="G7:G8"/>
    <mergeCell ref="F7:F8"/>
    <mergeCell ref="E7:E8"/>
  </mergeCells>
  <phoneticPr fontId="8" type="noConversion"/>
  <conditionalFormatting sqref="E9:E308">
    <cfRule type="expression" dxfId="8" priority="2">
      <formula>AND(NOT(ISBLANK($F9)),ISBLANK($E9))</formula>
    </cfRule>
  </conditionalFormatting>
  <conditionalFormatting sqref="F9:F308">
    <cfRule type="expression" dxfId="7" priority="1">
      <formula>AND(NOT(ISBLANK($E9)), ISBLANK($F9))</formula>
    </cfRule>
  </conditionalFormatting>
  <printOptions horizontalCentered="1"/>
  <pageMargins left="0.23622047244094491" right="0.23622047244094491" top="0.39370078740157483" bottom="0.74803149606299213" header="0.31496062992125984" footer="0.31496062992125984"/>
  <pageSetup paperSize="9" scale="85" fitToHeight="100" orientation="landscape" r:id="rId1"/>
  <headerFooter>
    <oddFooter>&amp;L &amp;G&amp;9     Building Technologies&amp;C&amp;F&amp;R&amp;9Page &amp;P of &amp;N          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O273"/>
  <sheetViews>
    <sheetView showGridLines="0" zoomScale="85" zoomScaleNormal="85" workbookViewId="0">
      <pane ySplit="7" topLeftCell="A8" activePane="bottomLeft" state="frozen"/>
      <selection activeCell="I22" sqref="I22"/>
      <selection pane="bottomLeft" activeCell="A8" sqref="A8"/>
    </sheetView>
  </sheetViews>
  <sheetFormatPr defaultRowHeight="12.75" x14ac:dyDescent="0.2"/>
  <cols>
    <col min="1" max="1" width="23.7109375" style="18" customWidth="1"/>
    <col min="2" max="2" width="9.7109375" style="19" customWidth="1"/>
    <col min="3" max="3" width="9.7109375" style="18" customWidth="1"/>
    <col min="4" max="4" width="8.85546875" style="18" customWidth="1"/>
    <col min="5" max="5" width="28.7109375" style="18" bestFit="1" customWidth="1"/>
    <col min="6" max="6" width="7.7109375" style="18" customWidth="1"/>
    <col min="7" max="8" width="10.28515625" style="18" customWidth="1"/>
    <col min="9" max="9" width="9" style="18" customWidth="1"/>
    <col min="10" max="10" width="24.85546875" style="18" customWidth="1"/>
    <col min="11" max="11" width="28.7109375" style="18" customWidth="1"/>
    <col min="12" max="13" width="14.7109375" style="18" customWidth="1"/>
    <col min="14" max="14" width="13.28515625" style="18" customWidth="1"/>
    <col min="15" max="15" width="7" style="34" bestFit="1" customWidth="1"/>
    <col min="16" max="16384" width="9.140625" style="18"/>
  </cols>
  <sheetData>
    <row r="1" spans="1:15" s="161" customFormat="1" ht="18" x14ac:dyDescent="0.2">
      <c r="B1" s="176"/>
      <c r="D1" s="160"/>
      <c r="I1" s="153" t="s">
        <v>818</v>
      </c>
      <c r="J1" s="171"/>
      <c r="K1" s="140"/>
      <c r="L1" s="153" t="s">
        <v>148</v>
      </c>
      <c r="M1" s="179">
        <f ca="1">NOW()</f>
        <v>42651.677298958333</v>
      </c>
      <c r="N1" s="164"/>
      <c r="O1" s="180"/>
    </row>
    <row r="2" spans="1:15" s="161" customFormat="1" ht="23.25" x14ac:dyDescent="0.2">
      <c r="B2" s="139" t="s">
        <v>827</v>
      </c>
      <c r="D2" s="160"/>
      <c r="J2" s="162"/>
      <c r="K2" s="140"/>
      <c r="L2" s="162"/>
      <c r="M2" s="177"/>
      <c r="N2" s="164"/>
      <c r="O2" s="167"/>
    </row>
    <row r="3" spans="1:15" s="161" customFormat="1" ht="15.75" customHeight="1" x14ac:dyDescent="0.2">
      <c r="B3" s="176"/>
      <c r="D3" s="178" t="s">
        <v>820</v>
      </c>
      <c r="E3" s="268"/>
      <c r="F3" s="268"/>
      <c r="G3" s="268"/>
      <c r="H3" s="144"/>
      <c r="I3" s="163"/>
      <c r="K3" s="153" t="s">
        <v>821</v>
      </c>
      <c r="L3" s="267"/>
      <c r="M3" s="268"/>
      <c r="N3" s="164"/>
      <c r="O3" s="181"/>
    </row>
    <row r="4" spans="1:15" s="161" customFormat="1" ht="15.75" customHeight="1" x14ac:dyDescent="0.2">
      <c r="B4" s="176"/>
      <c r="D4" s="178" t="s">
        <v>823</v>
      </c>
      <c r="E4" s="267" t="s">
        <v>278</v>
      </c>
      <c r="F4" s="268"/>
      <c r="G4" s="268"/>
      <c r="H4" s="144"/>
      <c r="I4" s="162"/>
      <c r="K4" s="153" t="s">
        <v>824</v>
      </c>
      <c r="L4" s="286"/>
      <c r="M4" s="287"/>
      <c r="N4" s="164"/>
      <c r="O4" s="182"/>
    </row>
    <row r="5" spans="1:15" s="164" customFormat="1" x14ac:dyDescent="0.2">
      <c r="A5" s="126"/>
      <c r="B5" s="127"/>
      <c r="O5" s="173"/>
    </row>
    <row r="6" spans="1:15" s="188" customFormat="1" x14ac:dyDescent="0.2">
      <c r="A6" s="129"/>
      <c r="B6" s="130"/>
      <c r="C6" s="134"/>
      <c r="D6" s="134"/>
      <c r="E6" s="290" t="s">
        <v>4</v>
      </c>
      <c r="F6" s="291"/>
      <c r="G6" s="291"/>
      <c r="H6" s="291"/>
      <c r="I6" s="291"/>
      <c r="J6" s="261" t="s">
        <v>5</v>
      </c>
      <c r="K6" s="276"/>
      <c r="L6" s="276"/>
      <c r="M6" s="262"/>
      <c r="N6" s="285"/>
      <c r="O6" s="285"/>
    </row>
    <row r="7" spans="1:15" s="188" customFormat="1" ht="25.5" x14ac:dyDescent="0.2">
      <c r="A7" s="148" t="s">
        <v>8</v>
      </c>
      <c r="B7" s="149" t="s">
        <v>234</v>
      </c>
      <c r="C7" s="149" t="s">
        <v>579</v>
      </c>
      <c r="D7" s="146" t="s">
        <v>7</v>
      </c>
      <c r="E7" s="148" t="s">
        <v>2</v>
      </c>
      <c r="F7" s="150" t="s">
        <v>1</v>
      </c>
      <c r="G7" s="150" t="s">
        <v>582</v>
      </c>
      <c r="H7" s="150" t="s">
        <v>583</v>
      </c>
      <c r="I7" s="146" t="s">
        <v>584</v>
      </c>
      <c r="J7" s="148" t="s">
        <v>2</v>
      </c>
      <c r="K7" s="150" t="s">
        <v>3</v>
      </c>
      <c r="L7" s="150" t="s">
        <v>580</v>
      </c>
      <c r="M7" s="146" t="s">
        <v>581</v>
      </c>
      <c r="N7" s="174"/>
      <c r="O7" s="175"/>
    </row>
    <row r="8" spans="1:15" x14ac:dyDescent="0.2">
      <c r="A8" s="83"/>
      <c r="B8" s="22"/>
      <c r="C8" s="112" t="str">
        <f>IF(ISBLANK(B8),"-",B8*3600)</f>
        <v>-</v>
      </c>
      <c r="D8" s="14"/>
      <c r="E8" s="234"/>
      <c r="F8" s="234"/>
      <c r="G8" s="234"/>
      <c r="H8" s="234"/>
      <c r="I8" s="183"/>
      <c r="J8" s="219"/>
      <c r="K8" s="219"/>
      <c r="L8" s="219"/>
      <c r="M8" s="219"/>
      <c r="N8" s="108"/>
      <c r="O8" s="82"/>
    </row>
    <row r="9" spans="1:15" x14ac:dyDescent="0.2">
      <c r="A9" s="75"/>
      <c r="B9" s="22"/>
      <c r="C9" s="112" t="str">
        <f t="shared" ref="C9:C72" si="0">IF(ISBLANK(B9),"-",B9*3600)</f>
        <v>-</v>
      </c>
      <c r="D9" s="14"/>
      <c r="E9" s="218"/>
      <c r="F9" s="219"/>
      <c r="G9" s="219"/>
      <c r="H9" s="219"/>
      <c r="I9" s="184"/>
      <c r="J9" s="219"/>
      <c r="K9" s="219"/>
      <c r="L9" s="219"/>
      <c r="M9" s="219"/>
      <c r="N9" s="108"/>
      <c r="O9" s="82"/>
    </row>
    <row r="10" spans="1:15" x14ac:dyDescent="0.2">
      <c r="A10" s="75"/>
      <c r="B10" s="22"/>
      <c r="C10" s="112" t="str">
        <f t="shared" si="0"/>
        <v>-</v>
      </c>
      <c r="D10" s="14"/>
      <c r="E10" s="219"/>
      <c r="F10" s="219"/>
      <c r="G10" s="219"/>
      <c r="H10" s="219"/>
      <c r="I10" s="184"/>
      <c r="J10" s="219"/>
      <c r="K10" s="219"/>
      <c r="L10" s="219"/>
      <c r="M10" s="219"/>
      <c r="N10" s="108"/>
      <c r="O10" s="82"/>
    </row>
    <row r="11" spans="1:15" x14ac:dyDescent="0.2">
      <c r="A11" s="21"/>
      <c r="B11" s="22"/>
      <c r="C11" s="112" t="str">
        <f t="shared" si="0"/>
        <v>-</v>
      </c>
      <c r="D11" s="14"/>
      <c r="E11" s="219"/>
      <c r="F11" s="219"/>
      <c r="G11" s="219"/>
      <c r="H11" s="219"/>
      <c r="I11" s="184"/>
      <c r="J11" s="219"/>
      <c r="K11" s="219"/>
      <c r="L11" s="219"/>
      <c r="M11" s="219"/>
      <c r="N11" s="108"/>
      <c r="O11" s="82"/>
    </row>
    <row r="12" spans="1:15" x14ac:dyDescent="0.2">
      <c r="A12" s="75"/>
      <c r="B12" s="22"/>
      <c r="C12" s="112" t="str">
        <f t="shared" si="0"/>
        <v>-</v>
      </c>
      <c r="D12" s="14"/>
      <c r="E12" s="219"/>
      <c r="F12" s="219"/>
      <c r="G12" s="219"/>
      <c r="H12" s="219"/>
      <c r="I12" s="184"/>
      <c r="J12" s="219"/>
      <c r="K12" s="219"/>
      <c r="L12" s="219"/>
      <c r="M12" s="219"/>
      <c r="N12" s="108"/>
      <c r="O12" s="82"/>
    </row>
    <row r="13" spans="1:15" x14ac:dyDescent="0.2">
      <c r="A13" s="75"/>
      <c r="B13" s="22"/>
      <c r="C13" s="112" t="str">
        <f t="shared" si="0"/>
        <v>-</v>
      </c>
      <c r="D13" s="14"/>
      <c r="E13" s="219"/>
      <c r="F13" s="219"/>
      <c r="G13" s="219"/>
      <c r="H13" s="219"/>
      <c r="I13" s="184"/>
      <c r="J13" s="219"/>
      <c r="K13" s="219"/>
      <c r="L13" s="219"/>
      <c r="M13" s="219"/>
      <c r="N13" s="108"/>
      <c r="O13" s="82"/>
    </row>
    <row r="14" spans="1:15" x14ac:dyDescent="0.2">
      <c r="A14" s="21"/>
      <c r="B14" s="22"/>
      <c r="C14" s="112" t="str">
        <f t="shared" si="0"/>
        <v>-</v>
      </c>
      <c r="D14" s="14"/>
      <c r="E14" s="219"/>
      <c r="F14" s="219"/>
      <c r="G14" s="219"/>
      <c r="H14" s="219"/>
      <c r="I14" s="184"/>
      <c r="J14" s="219"/>
      <c r="K14" s="219"/>
      <c r="L14" s="219"/>
      <c r="M14" s="219"/>
      <c r="N14" s="108"/>
      <c r="O14" s="82"/>
    </row>
    <row r="15" spans="1:15" x14ac:dyDescent="0.2">
      <c r="A15" s="75"/>
      <c r="B15" s="92"/>
      <c r="C15" s="112" t="str">
        <f t="shared" si="0"/>
        <v>-</v>
      </c>
      <c r="D15" s="14"/>
      <c r="E15" s="219"/>
      <c r="F15" s="219"/>
      <c r="G15" s="219"/>
      <c r="H15" s="219"/>
      <c r="I15" s="184"/>
      <c r="J15" s="219"/>
      <c r="K15" s="219"/>
      <c r="L15" s="219"/>
      <c r="M15" s="219"/>
      <c r="N15" s="108"/>
      <c r="O15" s="82"/>
    </row>
    <row r="16" spans="1:15" x14ac:dyDescent="0.2">
      <c r="A16" s="75"/>
      <c r="B16" s="22"/>
      <c r="C16" s="112" t="str">
        <f t="shared" si="0"/>
        <v>-</v>
      </c>
      <c r="D16" s="14"/>
      <c r="E16" s="219"/>
      <c r="F16" s="219"/>
      <c r="G16" s="219"/>
      <c r="H16" s="219"/>
      <c r="I16" s="184"/>
      <c r="J16" s="219"/>
      <c r="K16" s="219"/>
      <c r="L16" s="219"/>
      <c r="M16" s="219"/>
      <c r="N16" s="108"/>
      <c r="O16" s="82"/>
    </row>
    <row r="17" spans="1:15" x14ac:dyDescent="0.2">
      <c r="A17" s="75"/>
      <c r="B17" s="22"/>
      <c r="C17" s="112" t="str">
        <f t="shared" si="0"/>
        <v>-</v>
      </c>
      <c r="D17" s="14"/>
      <c r="E17" s="219"/>
      <c r="F17" s="219"/>
      <c r="G17" s="219"/>
      <c r="H17" s="219"/>
      <c r="I17" s="184"/>
      <c r="J17" s="219"/>
      <c r="K17" s="219"/>
      <c r="L17" s="219"/>
      <c r="M17" s="219"/>
      <c r="N17" s="108"/>
      <c r="O17" s="82"/>
    </row>
    <row r="18" spans="1:15" x14ac:dyDescent="0.2">
      <c r="A18" s="75"/>
      <c r="B18" s="22"/>
      <c r="C18" s="112" t="str">
        <f t="shared" si="0"/>
        <v>-</v>
      </c>
      <c r="D18" s="14"/>
      <c r="E18" s="219"/>
      <c r="F18" s="219"/>
      <c r="G18" s="219"/>
      <c r="H18" s="219"/>
      <c r="I18" s="184"/>
      <c r="J18" s="219"/>
      <c r="K18" s="219"/>
      <c r="L18" s="219"/>
      <c r="M18" s="219"/>
      <c r="N18" s="108"/>
      <c r="O18" s="82"/>
    </row>
    <row r="19" spans="1:15" x14ac:dyDescent="0.2">
      <c r="A19" s="75"/>
      <c r="B19" s="22"/>
      <c r="C19" s="112" t="str">
        <f t="shared" si="0"/>
        <v>-</v>
      </c>
      <c r="D19" s="14"/>
      <c r="E19" s="219"/>
      <c r="F19" s="219"/>
      <c r="G19" s="219"/>
      <c r="H19" s="219"/>
      <c r="I19" s="184"/>
      <c r="J19" s="219"/>
      <c r="K19" s="219"/>
      <c r="L19" s="219"/>
      <c r="M19" s="219"/>
      <c r="N19" s="108"/>
      <c r="O19" s="82"/>
    </row>
    <row r="20" spans="1:15" x14ac:dyDescent="0.2">
      <c r="A20" s="75"/>
      <c r="B20" s="22"/>
      <c r="C20" s="112" t="str">
        <f t="shared" si="0"/>
        <v>-</v>
      </c>
      <c r="D20" s="14"/>
      <c r="E20" s="219"/>
      <c r="F20" s="219"/>
      <c r="G20" s="219"/>
      <c r="H20" s="219"/>
      <c r="I20" s="184"/>
      <c r="J20" s="219"/>
      <c r="K20" s="219"/>
      <c r="L20" s="219"/>
      <c r="M20" s="219"/>
      <c r="N20" s="108"/>
      <c r="O20" s="82"/>
    </row>
    <row r="21" spans="1:15" x14ac:dyDescent="0.2">
      <c r="A21" s="21"/>
      <c r="B21" s="22"/>
      <c r="C21" s="112" t="str">
        <f t="shared" si="0"/>
        <v>-</v>
      </c>
      <c r="D21" s="14"/>
      <c r="E21" s="219"/>
      <c r="F21" s="219"/>
      <c r="G21" s="219"/>
      <c r="H21" s="219"/>
      <c r="I21" s="184"/>
      <c r="J21" s="219"/>
      <c r="K21" s="219"/>
      <c r="L21" s="219"/>
      <c r="M21" s="219"/>
      <c r="N21" s="108"/>
      <c r="O21" s="82"/>
    </row>
    <row r="22" spans="1:15" x14ac:dyDescent="0.2">
      <c r="A22" s="21"/>
      <c r="B22" s="22"/>
      <c r="C22" s="112" t="str">
        <f t="shared" si="0"/>
        <v>-</v>
      </c>
      <c r="D22" s="14"/>
      <c r="E22" s="219"/>
      <c r="F22" s="219"/>
      <c r="G22" s="219"/>
      <c r="H22" s="219"/>
      <c r="I22" s="184"/>
      <c r="J22" s="219"/>
      <c r="K22" s="219"/>
      <c r="L22" s="219"/>
      <c r="M22" s="219"/>
      <c r="N22" s="108"/>
      <c r="O22" s="82"/>
    </row>
    <row r="23" spans="1:15" x14ac:dyDescent="0.2">
      <c r="A23" s="21"/>
      <c r="B23" s="22"/>
      <c r="C23" s="112" t="str">
        <f t="shared" si="0"/>
        <v>-</v>
      </c>
      <c r="D23" s="14"/>
      <c r="E23" s="219"/>
      <c r="F23" s="219"/>
      <c r="G23" s="219"/>
      <c r="H23" s="219"/>
      <c r="I23" s="185"/>
      <c r="J23" s="219"/>
      <c r="K23" s="219"/>
      <c r="L23" s="219"/>
      <c r="M23" s="219"/>
      <c r="N23" s="108"/>
      <c r="O23" s="82"/>
    </row>
    <row r="24" spans="1:15" x14ac:dyDescent="0.2">
      <c r="A24" s="21"/>
      <c r="B24" s="22"/>
      <c r="C24" s="112" t="str">
        <f t="shared" si="0"/>
        <v>-</v>
      </c>
      <c r="D24" s="14"/>
      <c r="E24" s="219"/>
      <c r="F24" s="219"/>
      <c r="G24" s="219"/>
      <c r="H24" s="219"/>
      <c r="I24" s="185"/>
      <c r="J24" s="219"/>
      <c r="K24" s="219"/>
      <c r="L24" s="219"/>
      <c r="M24" s="219"/>
      <c r="N24" s="108"/>
      <c r="O24" s="82"/>
    </row>
    <row r="25" spans="1:15" x14ac:dyDescent="0.2">
      <c r="A25" s="21"/>
      <c r="B25" s="22"/>
      <c r="C25" s="112" t="str">
        <f t="shared" si="0"/>
        <v>-</v>
      </c>
      <c r="D25" s="14"/>
      <c r="E25" s="219"/>
      <c r="F25" s="219"/>
      <c r="G25" s="219"/>
      <c r="H25" s="219"/>
      <c r="I25" s="184"/>
      <c r="J25" s="219"/>
      <c r="K25" s="219"/>
      <c r="L25" s="219"/>
      <c r="M25" s="219"/>
      <c r="N25" s="108"/>
      <c r="O25" s="82"/>
    </row>
    <row r="26" spans="1:15" x14ac:dyDescent="0.2">
      <c r="A26" s="21"/>
      <c r="B26" s="22"/>
      <c r="C26" s="112" t="str">
        <f t="shared" si="0"/>
        <v>-</v>
      </c>
      <c r="D26" s="14"/>
      <c r="E26" s="219"/>
      <c r="F26" s="219"/>
      <c r="G26" s="219"/>
      <c r="H26" s="219"/>
      <c r="I26" s="184"/>
      <c r="J26" s="219"/>
      <c r="K26" s="219"/>
      <c r="L26" s="219"/>
      <c r="M26" s="219"/>
      <c r="N26" s="108"/>
      <c r="O26" s="82"/>
    </row>
    <row r="27" spans="1:15" x14ac:dyDescent="0.2">
      <c r="A27" s="21"/>
      <c r="B27" s="22"/>
      <c r="C27" s="112" t="str">
        <f t="shared" si="0"/>
        <v>-</v>
      </c>
      <c r="D27" s="14"/>
      <c r="E27" s="219"/>
      <c r="F27" s="219"/>
      <c r="G27" s="219"/>
      <c r="H27" s="219"/>
      <c r="I27" s="184"/>
      <c r="J27" s="219"/>
      <c r="K27" s="219"/>
      <c r="L27" s="219"/>
      <c r="M27" s="219"/>
      <c r="N27" s="108"/>
      <c r="O27" s="82"/>
    </row>
    <row r="28" spans="1:15" x14ac:dyDescent="0.2">
      <c r="A28" s="21"/>
      <c r="B28" s="22"/>
      <c r="C28" s="112" t="str">
        <f t="shared" si="0"/>
        <v>-</v>
      </c>
      <c r="D28" s="14"/>
      <c r="E28" s="219"/>
      <c r="F28" s="219"/>
      <c r="G28" s="219"/>
      <c r="H28" s="219"/>
      <c r="I28" s="184"/>
      <c r="J28" s="219"/>
      <c r="K28" s="219"/>
      <c r="L28" s="219"/>
      <c r="M28" s="219"/>
      <c r="N28" s="108"/>
      <c r="O28" s="82"/>
    </row>
    <row r="29" spans="1:15" x14ac:dyDescent="0.2">
      <c r="A29" s="21"/>
      <c r="B29" s="22"/>
      <c r="C29" s="112" t="str">
        <f t="shared" si="0"/>
        <v>-</v>
      </c>
      <c r="D29" s="14"/>
      <c r="E29" s="219"/>
      <c r="F29" s="219"/>
      <c r="G29" s="219"/>
      <c r="H29" s="219"/>
      <c r="I29" s="184"/>
      <c r="J29" s="219"/>
      <c r="K29" s="219"/>
      <c r="L29" s="219"/>
      <c r="M29" s="219"/>
      <c r="N29" s="108"/>
      <c r="O29" s="82"/>
    </row>
    <row r="30" spans="1:15" x14ac:dyDescent="0.2">
      <c r="A30" s="21"/>
      <c r="B30" s="22"/>
      <c r="C30" s="112" t="str">
        <f t="shared" si="0"/>
        <v>-</v>
      </c>
      <c r="D30" s="14"/>
      <c r="E30" s="219"/>
      <c r="F30" s="219"/>
      <c r="G30" s="219"/>
      <c r="H30" s="219"/>
      <c r="I30" s="184"/>
      <c r="J30" s="219"/>
      <c r="K30" s="219"/>
      <c r="L30" s="219"/>
      <c r="M30" s="219"/>
      <c r="N30" s="108"/>
      <c r="O30" s="82"/>
    </row>
    <row r="31" spans="1:15" x14ac:dyDescent="0.2">
      <c r="A31" s="21"/>
      <c r="B31" s="22"/>
      <c r="C31" s="112" t="str">
        <f t="shared" si="0"/>
        <v>-</v>
      </c>
      <c r="D31" s="14"/>
      <c r="E31" s="219"/>
      <c r="F31" s="219"/>
      <c r="G31" s="219"/>
      <c r="H31" s="219"/>
      <c r="I31" s="184"/>
      <c r="J31" s="219"/>
      <c r="K31" s="219"/>
      <c r="L31" s="219"/>
      <c r="M31" s="219"/>
      <c r="N31" s="108"/>
      <c r="O31" s="82"/>
    </row>
    <row r="32" spans="1:15" x14ac:dyDescent="0.2">
      <c r="A32" s="21"/>
      <c r="B32" s="22"/>
      <c r="C32" s="112" t="str">
        <f t="shared" si="0"/>
        <v>-</v>
      </c>
      <c r="D32" s="14"/>
      <c r="E32" s="219"/>
      <c r="F32" s="219"/>
      <c r="G32" s="219"/>
      <c r="H32" s="219"/>
      <c r="I32" s="184"/>
      <c r="J32" s="219"/>
      <c r="K32" s="219"/>
      <c r="L32" s="219"/>
      <c r="M32" s="219"/>
      <c r="N32" s="108"/>
      <c r="O32" s="82"/>
    </row>
    <row r="33" spans="1:15" x14ac:dyDescent="0.2">
      <c r="A33" s="21"/>
      <c r="B33" s="22"/>
      <c r="C33" s="112" t="str">
        <f t="shared" si="0"/>
        <v>-</v>
      </c>
      <c r="D33" s="14"/>
      <c r="E33" s="219"/>
      <c r="F33" s="219"/>
      <c r="G33" s="219"/>
      <c r="H33" s="219"/>
      <c r="I33" s="184"/>
      <c r="J33" s="219"/>
      <c r="K33" s="219"/>
      <c r="L33" s="219"/>
      <c r="M33" s="219"/>
      <c r="N33" s="108"/>
      <c r="O33" s="82"/>
    </row>
    <row r="34" spans="1:15" x14ac:dyDescent="0.2">
      <c r="A34" s="21"/>
      <c r="B34" s="22"/>
      <c r="C34" s="112" t="str">
        <f t="shared" si="0"/>
        <v>-</v>
      </c>
      <c r="D34" s="14"/>
      <c r="E34" s="219"/>
      <c r="F34" s="219"/>
      <c r="G34" s="219"/>
      <c r="H34" s="219"/>
      <c r="I34" s="184"/>
      <c r="J34" s="219"/>
      <c r="K34" s="219"/>
      <c r="L34" s="219"/>
      <c r="M34" s="219"/>
      <c r="N34" s="108"/>
      <c r="O34" s="82"/>
    </row>
    <row r="35" spans="1:15" x14ac:dyDescent="0.2">
      <c r="A35" s="21"/>
      <c r="B35" s="22"/>
      <c r="C35" s="112" t="str">
        <f t="shared" si="0"/>
        <v>-</v>
      </c>
      <c r="D35" s="14"/>
      <c r="E35" s="219"/>
      <c r="F35" s="219"/>
      <c r="G35" s="219"/>
      <c r="H35" s="219"/>
      <c r="I35" s="184"/>
      <c r="J35" s="219"/>
      <c r="K35" s="219"/>
      <c r="L35" s="219"/>
      <c r="M35" s="219"/>
      <c r="N35" s="108"/>
      <c r="O35" s="82"/>
    </row>
    <row r="36" spans="1:15" x14ac:dyDescent="0.2">
      <c r="A36" s="21"/>
      <c r="B36" s="22"/>
      <c r="C36" s="112" t="str">
        <f t="shared" si="0"/>
        <v>-</v>
      </c>
      <c r="D36" s="14"/>
      <c r="E36" s="219"/>
      <c r="F36" s="219"/>
      <c r="G36" s="219"/>
      <c r="H36" s="219"/>
      <c r="I36" s="184"/>
      <c r="J36" s="219"/>
      <c r="K36" s="219"/>
      <c r="L36" s="219"/>
      <c r="M36" s="219"/>
      <c r="N36" s="108"/>
      <c r="O36" s="82"/>
    </row>
    <row r="37" spans="1:15" x14ac:dyDescent="0.2">
      <c r="A37" s="21"/>
      <c r="B37" s="22"/>
      <c r="C37" s="112" t="str">
        <f t="shared" si="0"/>
        <v>-</v>
      </c>
      <c r="D37" s="14"/>
      <c r="E37" s="219"/>
      <c r="F37" s="219"/>
      <c r="G37" s="219"/>
      <c r="H37" s="219"/>
      <c r="I37" s="184"/>
      <c r="J37" s="219"/>
      <c r="K37" s="219"/>
      <c r="L37" s="219"/>
      <c r="M37" s="219"/>
      <c r="N37" s="108"/>
      <c r="O37" s="82"/>
    </row>
    <row r="38" spans="1:15" x14ac:dyDescent="0.2">
      <c r="A38" s="21"/>
      <c r="B38" s="22"/>
      <c r="C38" s="112" t="str">
        <f t="shared" si="0"/>
        <v>-</v>
      </c>
      <c r="D38" s="14"/>
      <c r="E38" s="219"/>
      <c r="F38" s="219"/>
      <c r="G38" s="219"/>
      <c r="H38" s="219"/>
      <c r="I38" s="184"/>
      <c r="J38" s="219"/>
      <c r="K38" s="219"/>
      <c r="L38" s="219"/>
      <c r="M38" s="219"/>
      <c r="N38" s="108"/>
      <c r="O38" s="82"/>
    </row>
    <row r="39" spans="1:15" x14ac:dyDescent="0.2">
      <c r="A39" s="21"/>
      <c r="B39" s="22"/>
      <c r="C39" s="112" t="str">
        <f t="shared" si="0"/>
        <v>-</v>
      </c>
      <c r="D39" s="14"/>
      <c r="E39" s="219"/>
      <c r="F39" s="219"/>
      <c r="G39" s="219"/>
      <c r="H39" s="219"/>
      <c r="I39" s="184"/>
      <c r="J39" s="219"/>
      <c r="K39" s="219"/>
      <c r="L39" s="219"/>
      <c r="M39" s="219"/>
      <c r="N39" s="108"/>
      <c r="O39" s="82"/>
    </row>
    <row r="40" spans="1:15" x14ac:dyDescent="0.2">
      <c r="A40" s="21"/>
      <c r="B40" s="22"/>
      <c r="C40" s="112" t="str">
        <f t="shared" si="0"/>
        <v>-</v>
      </c>
      <c r="D40" s="14"/>
      <c r="E40" s="219"/>
      <c r="F40" s="219"/>
      <c r="G40" s="219"/>
      <c r="H40" s="219"/>
      <c r="I40" s="184"/>
      <c r="J40" s="219"/>
      <c r="K40" s="219"/>
      <c r="L40" s="219"/>
      <c r="M40" s="219"/>
      <c r="N40" s="108"/>
      <c r="O40" s="82"/>
    </row>
    <row r="41" spans="1:15" x14ac:dyDescent="0.2">
      <c r="A41" s="21"/>
      <c r="B41" s="22"/>
      <c r="C41" s="112" t="str">
        <f t="shared" si="0"/>
        <v>-</v>
      </c>
      <c r="D41" s="14"/>
      <c r="E41" s="219"/>
      <c r="F41" s="219"/>
      <c r="G41" s="219"/>
      <c r="H41" s="219"/>
      <c r="I41" s="184"/>
      <c r="J41" s="219"/>
      <c r="K41" s="219"/>
      <c r="L41" s="219"/>
      <c r="M41" s="219"/>
      <c r="N41" s="108"/>
      <c r="O41" s="82"/>
    </row>
    <row r="42" spans="1:15" x14ac:dyDescent="0.2">
      <c r="A42" s="21"/>
      <c r="B42" s="22"/>
      <c r="C42" s="112" t="str">
        <f t="shared" si="0"/>
        <v>-</v>
      </c>
      <c r="D42" s="14"/>
      <c r="E42" s="219"/>
      <c r="F42" s="219"/>
      <c r="G42" s="219"/>
      <c r="H42" s="219"/>
      <c r="I42" s="184"/>
      <c r="J42" s="219"/>
      <c r="K42" s="219"/>
      <c r="L42" s="219"/>
      <c r="M42" s="219"/>
      <c r="N42" s="108"/>
      <c r="O42" s="82"/>
    </row>
    <row r="43" spans="1:15" x14ac:dyDescent="0.2">
      <c r="A43" s="21"/>
      <c r="B43" s="22"/>
      <c r="C43" s="112" t="str">
        <f t="shared" si="0"/>
        <v>-</v>
      </c>
      <c r="D43" s="14"/>
      <c r="E43" s="219"/>
      <c r="F43" s="219"/>
      <c r="G43" s="219"/>
      <c r="H43" s="219"/>
      <c r="I43" s="184"/>
      <c r="J43" s="219"/>
      <c r="K43" s="219"/>
      <c r="L43" s="219"/>
      <c r="M43" s="219"/>
      <c r="N43" s="108"/>
      <c r="O43" s="82"/>
    </row>
    <row r="44" spans="1:15" x14ac:dyDescent="0.2">
      <c r="A44" s="21"/>
      <c r="B44" s="22"/>
      <c r="C44" s="112" t="str">
        <f t="shared" si="0"/>
        <v>-</v>
      </c>
      <c r="D44" s="14"/>
      <c r="E44" s="219"/>
      <c r="F44" s="219"/>
      <c r="G44" s="219"/>
      <c r="H44" s="219"/>
      <c r="I44" s="184"/>
      <c r="J44" s="219"/>
      <c r="K44" s="219"/>
      <c r="L44" s="219"/>
      <c r="M44" s="219"/>
      <c r="N44" s="108"/>
      <c r="O44" s="82"/>
    </row>
    <row r="45" spans="1:15" x14ac:dyDescent="0.2">
      <c r="A45" s="21"/>
      <c r="B45" s="22"/>
      <c r="C45" s="112" t="str">
        <f t="shared" si="0"/>
        <v>-</v>
      </c>
      <c r="D45" s="14"/>
      <c r="E45" s="219"/>
      <c r="F45" s="219"/>
      <c r="G45" s="219"/>
      <c r="H45" s="219"/>
      <c r="I45" s="184"/>
      <c r="J45" s="219"/>
      <c r="K45" s="219"/>
      <c r="L45" s="219"/>
      <c r="M45" s="219"/>
      <c r="N45" s="108"/>
      <c r="O45" s="82"/>
    </row>
    <row r="46" spans="1:15" x14ac:dyDescent="0.2">
      <c r="A46" s="21"/>
      <c r="B46" s="22"/>
      <c r="C46" s="112" t="str">
        <f t="shared" si="0"/>
        <v>-</v>
      </c>
      <c r="D46" s="14"/>
      <c r="E46" s="219"/>
      <c r="F46" s="219"/>
      <c r="G46" s="219"/>
      <c r="H46" s="219"/>
      <c r="I46" s="184"/>
      <c r="J46" s="219"/>
      <c r="K46" s="219"/>
      <c r="L46" s="219"/>
      <c r="M46" s="219"/>
      <c r="N46" s="108"/>
      <c r="O46" s="82"/>
    </row>
    <row r="47" spans="1:15" x14ac:dyDescent="0.2">
      <c r="A47" s="21"/>
      <c r="B47" s="22"/>
      <c r="C47" s="112" t="str">
        <f t="shared" si="0"/>
        <v>-</v>
      </c>
      <c r="D47" s="14"/>
      <c r="E47" s="219"/>
      <c r="F47" s="219"/>
      <c r="G47" s="219"/>
      <c r="H47" s="219"/>
      <c r="I47" s="184"/>
      <c r="J47" s="219"/>
      <c r="K47" s="219"/>
      <c r="L47" s="219"/>
      <c r="M47" s="219"/>
      <c r="N47" s="108"/>
      <c r="O47" s="82"/>
    </row>
    <row r="48" spans="1:15" x14ac:dyDescent="0.2">
      <c r="A48" s="21"/>
      <c r="B48" s="22"/>
      <c r="C48" s="112" t="str">
        <f t="shared" si="0"/>
        <v>-</v>
      </c>
      <c r="D48" s="14"/>
      <c r="E48" s="219"/>
      <c r="F48" s="219"/>
      <c r="G48" s="219"/>
      <c r="H48" s="219"/>
      <c r="I48" s="184"/>
      <c r="J48" s="219"/>
      <c r="K48" s="219"/>
      <c r="L48" s="219"/>
      <c r="M48" s="219"/>
      <c r="N48" s="108"/>
      <c r="O48" s="82"/>
    </row>
    <row r="49" spans="1:15" x14ac:dyDescent="0.2">
      <c r="A49" s="21"/>
      <c r="B49" s="22"/>
      <c r="C49" s="112" t="str">
        <f t="shared" si="0"/>
        <v>-</v>
      </c>
      <c r="D49" s="14"/>
      <c r="E49" s="219"/>
      <c r="F49" s="219"/>
      <c r="G49" s="219"/>
      <c r="H49" s="219"/>
      <c r="I49" s="184"/>
      <c r="J49" s="219"/>
      <c r="K49" s="219"/>
      <c r="L49" s="219"/>
      <c r="M49" s="219"/>
      <c r="N49" s="108"/>
      <c r="O49" s="82"/>
    </row>
    <row r="50" spans="1:15" x14ac:dyDescent="0.2">
      <c r="A50" s="21"/>
      <c r="B50" s="22"/>
      <c r="C50" s="112" t="str">
        <f t="shared" si="0"/>
        <v>-</v>
      </c>
      <c r="D50" s="14"/>
      <c r="E50" s="219"/>
      <c r="F50" s="219"/>
      <c r="G50" s="219"/>
      <c r="H50" s="219"/>
      <c r="I50" s="184"/>
      <c r="J50" s="219"/>
      <c r="K50" s="219"/>
      <c r="L50" s="219"/>
      <c r="M50" s="219"/>
      <c r="N50" s="108"/>
      <c r="O50" s="82"/>
    </row>
    <row r="51" spans="1:15" x14ac:dyDescent="0.2">
      <c r="A51" s="21"/>
      <c r="B51" s="22"/>
      <c r="C51" s="112" t="str">
        <f t="shared" si="0"/>
        <v>-</v>
      </c>
      <c r="D51" s="14"/>
      <c r="E51" s="219"/>
      <c r="F51" s="219"/>
      <c r="G51" s="219"/>
      <c r="H51" s="219"/>
      <c r="I51" s="184"/>
      <c r="J51" s="219"/>
      <c r="K51" s="219"/>
      <c r="L51" s="219"/>
      <c r="M51" s="219"/>
      <c r="N51" s="108"/>
      <c r="O51" s="82"/>
    </row>
    <row r="52" spans="1:15" x14ac:dyDescent="0.2">
      <c r="A52" s="21"/>
      <c r="B52" s="22"/>
      <c r="C52" s="112" t="str">
        <f t="shared" si="0"/>
        <v>-</v>
      </c>
      <c r="D52" s="14"/>
      <c r="E52" s="219"/>
      <c r="F52" s="219"/>
      <c r="G52" s="219"/>
      <c r="H52" s="219"/>
      <c r="I52" s="184"/>
      <c r="J52" s="219"/>
      <c r="K52" s="219"/>
      <c r="L52" s="219"/>
      <c r="M52" s="219"/>
      <c r="N52" s="108"/>
      <c r="O52" s="82"/>
    </row>
    <row r="53" spans="1:15" x14ac:dyDescent="0.2">
      <c r="A53" s="21"/>
      <c r="B53" s="22"/>
      <c r="C53" s="112" t="str">
        <f t="shared" si="0"/>
        <v>-</v>
      </c>
      <c r="D53" s="14"/>
      <c r="E53" s="219"/>
      <c r="F53" s="219"/>
      <c r="G53" s="219"/>
      <c r="H53" s="219"/>
      <c r="I53" s="184"/>
      <c r="J53" s="219"/>
      <c r="K53" s="219"/>
      <c r="L53" s="219"/>
      <c r="M53" s="219"/>
      <c r="N53" s="108"/>
      <c r="O53" s="82"/>
    </row>
    <row r="54" spans="1:15" x14ac:dyDescent="0.2">
      <c r="A54" s="21"/>
      <c r="B54" s="22"/>
      <c r="C54" s="112" t="str">
        <f t="shared" si="0"/>
        <v>-</v>
      </c>
      <c r="D54" s="14"/>
      <c r="E54" s="219"/>
      <c r="F54" s="219"/>
      <c r="G54" s="219"/>
      <c r="H54" s="219"/>
      <c r="I54" s="184"/>
      <c r="J54" s="219"/>
      <c r="K54" s="219"/>
      <c r="L54" s="219"/>
      <c r="M54" s="219"/>
      <c r="N54" s="108"/>
      <c r="O54" s="82"/>
    </row>
    <row r="55" spans="1:15" x14ac:dyDescent="0.2">
      <c r="A55" s="21"/>
      <c r="B55" s="22"/>
      <c r="C55" s="112" t="str">
        <f t="shared" si="0"/>
        <v>-</v>
      </c>
      <c r="D55" s="14"/>
      <c r="E55" s="219"/>
      <c r="F55" s="219"/>
      <c r="G55" s="219"/>
      <c r="H55" s="219"/>
      <c r="I55" s="184"/>
      <c r="J55" s="219"/>
      <c r="K55" s="219"/>
      <c r="L55" s="219"/>
      <c r="M55" s="219"/>
      <c r="N55" s="108"/>
      <c r="O55" s="82"/>
    </row>
    <row r="56" spans="1:15" x14ac:dyDescent="0.2">
      <c r="A56" s="21"/>
      <c r="B56" s="22"/>
      <c r="C56" s="112" t="str">
        <f t="shared" si="0"/>
        <v>-</v>
      </c>
      <c r="D56" s="14"/>
      <c r="E56" s="219"/>
      <c r="F56" s="219"/>
      <c r="G56" s="219"/>
      <c r="H56" s="219"/>
      <c r="I56" s="184"/>
      <c r="J56" s="219"/>
      <c r="K56" s="219"/>
      <c r="L56" s="219"/>
      <c r="M56" s="219"/>
      <c r="N56" s="108"/>
      <c r="O56" s="82"/>
    </row>
    <row r="57" spans="1:15" x14ac:dyDescent="0.2">
      <c r="A57" s="21"/>
      <c r="B57" s="22"/>
      <c r="C57" s="112" t="str">
        <f t="shared" si="0"/>
        <v>-</v>
      </c>
      <c r="D57" s="14"/>
      <c r="E57" s="219"/>
      <c r="F57" s="219"/>
      <c r="G57" s="219"/>
      <c r="H57" s="219"/>
      <c r="I57" s="184"/>
      <c r="J57" s="219"/>
      <c r="K57" s="219"/>
      <c r="L57" s="219"/>
      <c r="M57" s="219"/>
      <c r="N57" s="108"/>
      <c r="O57" s="82"/>
    </row>
    <row r="58" spans="1:15" x14ac:dyDescent="0.2">
      <c r="A58" s="21"/>
      <c r="B58" s="22"/>
      <c r="C58" s="112" t="str">
        <f t="shared" si="0"/>
        <v>-</v>
      </c>
      <c r="D58" s="14"/>
      <c r="E58" s="219"/>
      <c r="F58" s="219"/>
      <c r="G58" s="219"/>
      <c r="H58" s="219"/>
      <c r="I58" s="184"/>
      <c r="J58" s="219"/>
      <c r="K58" s="219"/>
      <c r="L58" s="219"/>
      <c r="M58" s="219"/>
      <c r="N58" s="108"/>
      <c r="O58" s="82"/>
    </row>
    <row r="59" spans="1:15" x14ac:dyDescent="0.2">
      <c r="A59" s="21"/>
      <c r="B59" s="22"/>
      <c r="C59" s="112" t="str">
        <f t="shared" si="0"/>
        <v>-</v>
      </c>
      <c r="D59" s="14"/>
      <c r="E59" s="219"/>
      <c r="F59" s="219"/>
      <c r="G59" s="219"/>
      <c r="H59" s="219"/>
      <c r="I59" s="184"/>
      <c r="J59" s="219"/>
      <c r="K59" s="219"/>
      <c r="L59" s="219"/>
      <c r="M59" s="219"/>
      <c r="N59" s="108"/>
      <c r="O59" s="82"/>
    </row>
    <row r="60" spans="1:15" x14ac:dyDescent="0.2">
      <c r="A60" s="21"/>
      <c r="B60" s="22"/>
      <c r="C60" s="112" t="str">
        <f t="shared" si="0"/>
        <v>-</v>
      </c>
      <c r="D60" s="14"/>
      <c r="E60" s="219"/>
      <c r="F60" s="219"/>
      <c r="G60" s="219"/>
      <c r="H60" s="219"/>
      <c r="I60" s="184"/>
      <c r="J60" s="219"/>
      <c r="K60" s="219"/>
      <c r="L60" s="219"/>
      <c r="M60" s="219"/>
      <c r="N60" s="108"/>
      <c r="O60" s="82"/>
    </row>
    <row r="61" spans="1:15" x14ac:dyDescent="0.2">
      <c r="A61" s="21"/>
      <c r="B61" s="22"/>
      <c r="C61" s="112" t="str">
        <f t="shared" si="0"/>
        <v>-</v>
      </c>
      <c r="D61" s="14"/>
      <c r="E61" s="219"/>
      <c r="F61" s="219"/>
      <c r="G61" s="219"/>
      <c r="H61" s="219"/>
      <c r="I61" s="184"/>
      <c r="J61" s="219"/>
      <c r="K61" s="219"/>
      <c r="L61" s="219"/>
      <c r="M61" s="219"/>
      <c r="N61" s="108"/>
      <c r="O61" s="82"/>
    </row>
    <row r="62" spans="1:15" x14ac:dyDescent="0.2">
      <c r="A62" s="21"/>
      <c r="B62" s="22"/>
      <c r="C62" s="112" t="str">
        <f t="shared" si="0"/>
        <v>-</v>
      </c>
      <c r="D62" s="14"/>
      <c r="E62" s="219"/>
      <c r="F62" s="219"/>
      <c r="G62" s="219"/>
      <c r="H62" s="219"/>
      <c r="I62" s="184"/>
      <c r="J62" s="219"/>
      <c r="K62" s="219"/>
      <c r="L62" s="219"/>
      <c r="M62" s="219"/>
      <c r="N62" s="108"/>
      <c r="O62" s="82"/>
    </row>
    <row r="63" spans="1:15" x14ac:dyDescent="0.2">
      <c r="A63" s="21"/>
      <c r="B63" s="22"/>
      <c r="C63" s="112" t="str">
        <f t="shared" si="0"/>
        <v>-</v>
      </c>
      <c r="D63" s="14"/>
      <c r="E63" s="219"/>
      <c r="F63" s="219"/>
      <c r="G63" s="219"/>
      <c r="H63" s="219"/>
      <c r="I63" s="184"/>
      <c r="J63" s="219"/>
      <c r="K63" s="219"/>
      <c r="L63" s="219"/>
      <c r="M63" s="219"/>
      <c r="N63" s="108"/>
      <c r="O63" s="82"/>
    </row>
    <row r="64" spans="1:15" x14ac:dyDescent="0.2">
      <c r="A64" s="21"/>
      <c r="B64" s="22"/>
      <c r="C64" s="112" t="str">
        <f t="shared" si="0"/>
        <v>-</v>
      </c>
      <c r="D64" s="14"/>
      <c r="E64" s="219"/>
      <c r="F64" s="219"/>
      <c r="G64" s="219"/>
      <c r="H64" s="219"/>
      <c r="I64" s="184"/>
      <c r="J64" s="219"/>
      <c r="K64" s="219"/>
      <c r="L64" s="219"/>
      <c r="M64" s="219"/>
      <c r="N64" s="108"/>
      <c r="O64" s="82"/>
    </row>
    <row r="65" spans="1:15" x14ac:dyDescent="0.2">
      <c r="A65" s="21"/>
      <c r="B65" s="22"/>
      <c r="C65" s="112" t="str">
        <f t="shared" si="0"/>
        <v>-</v>
      </c>
      <c r="D65" s="14"/>
      <c r="E65" s="219"/>
      <c r="F65" s="219"/>
      <c r="G65" s="219"/>
      <c r="H65" s="219"/>
      <c r="I65" s="184"/>
      <c r="J65" s="219"/>
      <c r="K65" s="219"/>
      <c r="L65" s="219"/>
      <c r="M65" s="219"/>
      <c r="N65" s="108"/>
      <c r="O65" s="82"/>
    </row>
    <row r="66" spans="1:15" x14ac:dyDescent="0.2">
      <c r="A66" s="21"/>
      <c r="B66" s="22"/>
      <c r="C66" s="112" t="str">
        <f t="shared" si="0"/>
        <v>-</v>
      </c>
      <c r="D66" s="14"/>
      <c r="E66" s="219"/>
      <c r="F66" s="219"/>
      <c r="G66" s="219"/>
      <c r="H66" s="219"/>
      <c r="I66" s="184"/>
      <c r="J66" s="219"/>
      <c r="K66" s="219"/>
      <c r="L66" s="219"/>
      <c r="M66" s="219"/>
      <c r="N66" s="108"/>
      <c r="O66" s="82"/>
    </row>
    <row r="67" spans="1:15" x14ac:dyDescent="0.2">
      <c r="A67" s="21"/>
      <c r="B67" s="22"/>
      <c r="C67" s="112" t="str">
        <f t="shared" si="0"/>
        <v>-</v>
      </c>
      <c r="D67" s="14"/>
      <c r="E67" s="219"/>
      <c r="F67" s="219"/>
      <c r="G67" s="219"/>
      <c r="H67" s="219"/>
      <c r="I67" s="184"/>
      <c r="J67" s="219"/>
      <c r="K67" s="219"/>
      <c r="L67" s="219"/>
      <c r="M67" s="219"/>
      <c r="N67" s="108"/>
      <c r="O67" s="82"/>
    </row>
    <row r="68" spans="1:15" x14ac:dyDescent="0.2">
      <c r="A68" s="21"/>
      <c r="B68" s="22"/>
      <c r="C68" s="112" t="str">
        <f t="shared" si="0"/>
        <v>-</v>
      </c>
      <c r="D68" s="14"/>
      <c r="E68" s="219"/>
      <c r="F68" s="219"/>
      <c r="G68" s="219"/>
      <c r="H68" s="219"/>
      <c r="I68" s="184"/>
      <c r="J68" s="219"/>
      <c r="K68" s="219"/>
      <c r="L68" s="219"/>
      <c r="M68" s="219"/>
      <c r="N68" s="108"/>
      <c r="O68" s="82"/>
    </row>
    <row r="69" spans="1:15" x14ac:dyDescent="0.2">
      <c r="A69" s="21"/>
      <c r="B69" s="22"/>
      <c r="C69" s="112" t="str">
        <f t="shared" si="0"/>
        <v>-</v>
      </c>
      <c r="D69" s="14"/>
      <c r="E69" s="219"/>
      <c r="F69" s="219"/>
      <c r="G69" s="219"/>
      <c r="H69" s="219"/>
      <c r="I69" s="184"/>
      <c r="J69" s="219"/>
      <c r="K69" s="219"/>
      <c r="L69" s="219"/>
      <c r="M69" s="219"/>
      <c r="N69" s="108"/>
      <c r="O69" s="82"/>
    </row>
    <row r="70" spans="1:15" x14ac:dyDescent="0.2">
      <c r="A70" s="21"/>
      <c r="B70" s="22"/>
      <c r="C70" s="112" t="str">
        <f t="shared" si="0"/>
        <v>-</v>
      </c>
      <c r="D70" s="14"/>
      <c r="E70" s="219"/>
      <c r="F70" s="219"/>
      <c r="G70" s="219"/>
      <c r="H70" s="219"/>
      <c r="I70" s="184"/>
      <c r="J70" s="219"/>
      <c r="K70" s="219"/>
      <c r="L70" s="219"/>
      <c r="M70" s="219"/>
      <c r="N70" s="108"/>
      <c r="O70" s="82"/>
    </row>
    <row r="71" spans="1:15" x14ac:dyDescent="0.2">
      <c r="A71" s="21"/>
      <c r="B71" s="22"/>
      <c r="C71" s="112" t="str">
        <f t="shared" si="0"/>
        <v>-</v>
      </c>
      <c r="D71" s="14"/>
      <c r="E71" s="219"/>
      <c r="F71" s="219"/>
      <c r="G71" s="219"/>
      <c r="H71" s="219"/>
      <c r="I71" s="184"/>
      <c r="J71" s="219"/>
      <c r="K71" s="219"/>
      <c r="L71" s="219"/>
      <c r="M71" s="219"/>
      <c r="N71" s="108"/>
      <c r="O71" s="82"/>
    </row>
    <row r="72" spans="1:15" x14ac:dyDescent="0.2">
      <c r="A72" s="21"/>
      <c r="B72" s="22"/>
      <c r="C72" s="112" t="str">
        <f t="shared" si="0"/>
        <v>-</v>
      </c>
      <c r="D72" s="14"/>
      <c r="E72" s="219"/>
      <c r="F72" s="219"/>
      <c r="G72" s="219"/>
      <c r="H72" s="219"/>
      <c r="I72" s="184"/>
      <c r="J72" s="219"/>
      <c r="K72" s="219"/>
      <c r="L72" s="219"/>
      <c r="M72" s="219"/>
      <c r="N72" s="108"/>
      <c r="O72" s="82"/>
    </row>
    <row r="73" spans="1:15" x14ac:dyDescent="0.2">
      <c r="A73" s="21"/>
      <c r="B73" s="22"/>
      <c r="C73" s="112" t="str">
        <f t="shared" ref="C73:C136" si="1">IF(ISBLANK(B73),"-",B73*3600)</f>
        <v>-</v>
      </c>
      <c r="D73" s="14"/>
      <c r="E73" s="219"/>
      <c r="F73" s="219"/>
      <c r="G73" s="219"/>
      <c r="H73" s="219"/>
      <c r="I73" s="184"/>
      <c r="J73" s="219"/>
      <c r="K73" s="219"/>
      <c r="L73" s="219"/>
      <c r="M73" s="219"/>
      <c r="N73" s="108"/>
      <c r="O73" s="82"/>
    </row>
    <row r="74" spans="1:15" x14ac:dyDescent="0.2">
      <c r="A74" s="21"/>
      <c r="B74" s="22"/>
      <c r="C74" s="112" t="str">
        <f t="shared" si="1"/>
        <v>-</v>
      </c>
      <c r="D74" s="14"/>
      <c r="E74" s="219"/>
      <c r="F74" s="219"/>
      <c r="G74" s="219"/>
      <c r="H74" s="219"/>
      <c r="I74" s="184"/>
      <c r="J74" s="219"/>
      <c r="K74" s="219"/>
      <c r="L74" s="219"/>
      <c r="M74" s="219"/>
      <c r="N74" s="108"/>
      <c r="O74" s="82"/>
    </row>
    <row r="75" spans="1:15" x14ac:dyDescent="0.2">
      <c r="A75" s="21"/>
      <c r="B75" s="22"/>
      <c r="C75" s="112" t="str">
        <f t="shared" si="1"/>
        <v>-</v>
      </c>
      <c r="D75" s="14"/>
      <c r="E75" s="219"/>
      <c r="F75" s="219"/>
      <c r="G75" s="219"/>
      <c r="H75" s="219"/>
      <c r="I75" s="184"/>
      <c r="J75" s="219"/>
      <c r="K75" s="219"/>
      <c r="L75" s="219"/>
      <c r="M75" s="219"/>
      <c r="N75" s="108"/>
      <c r="O75" s="82"/>
    </row>
    <row r="76" spans="1:15" x14ac:dyDescent="0.2">
      <c r="A76" s="21"/>
      <c r="B76" s="22"/>
      <c r="C76" s="112" t="str">
        <f t="shared" si="1"/>
        <v>-</v>
      </c>
      <c r="D76" s="14"/>
      <c r="E76" s="219"/>
      <c r="F76" s="219"/>
      <c r="G76" s="219"/>
      <c r="H76" s="219"/>
      <c r="I76" s="184"/>
      <c r="J76" s="219"/>
      <c r="K76" s="219"/>
      <c r="L76" s="219"/>
      <c r="M76" s="219"/>
      <c r="N76" s="108"/>
      <c r="O76" s="82"/>
    </row>
    <row r="77" spans="1:15" x14ac:dyDescent="0.2">
      <c r="A77" s="21"/>
      <c r="B77" s="22"/>
      <c r="C77" s="112" t="str">
        <f t="shared" si="1"/>
        <v>-</v>
      </c>
      <c r="D77" s="14"/>
      <c r="E77" s="219"/>
      <c r="F77" s="219"/>
      <c r="G77" s="219"/>
      <c r="H77" s="219"/>
      <c r="I77" s="184"/>
      <c r="J77" s="219"/>
      <c r="K77" s="219"/>
      <c r="L77" s="219"/>
      <c r="M77" s="219"/>
      <c r="N77" s="108"/>
      <c r="O77" s="82"/>
    </row>
    <row r="78" spans="1:15" x14ac:dyDescent="0.2">
      <c r="A78" s="21"/>
      <c r="B78" s="22"/>
      <c r="C78" s="112" t="str">
        <f t="shared" si="1"/>
        <v>-</v>
      </c>
      <c r="D78" s="14"/>
      <c r="E78" s="219"/>
      <c r="F78" s="219"/>
      <c r="G78" s="219"/>
      <c r="H78" s="219"/>
      <c r="I78" s="184"/>
      <c r="J78" s="219"/>
      <c r="K78" s="219"/>
      <c r="L78" s="219"/>
      <c r="M78" s="219"/>
      <c r="N78" s="108"/>
      <c r="O78" s="82"/>
    </row>
    <row r="79" spans="1:15" x14ac:dyDescent="0.2">
      <c r="A79" s="21"/>
      <c r="B79" s="22"/>
      <c r="C79" s="112" t="str">
        <f t="shared" si="1"/>
        <v>-</v>
      </c>
      <c r="D79" s="14"/>
      <c r="E79" s="219"/>
      <c r="F79" s="219"/>
      <c r="G79" s="219"/>
      <c r="H79" s="219"/>
      <c r="I79" s="184"/>
      <c r="J79" s="219"/>
      <c r="K79" s="219"/>
      <c r="L79" s="219"/>
      <c r="M79" s="219"/>
      <c r="N79" s="108"/>
      <c r="O79" s="82"/>
    </row>
    <row r="80" spans="1:15" x14ac:dyDescent="0.2">
      <c r="A80" s="21"/>
      <c r="B80" s="22"/>
      <c r="C80" s="112" t="str">
        <f t="shared" si="1"/>
        <v>-</v>
      </c>
      <c r="D80" s="14"/>
      <c r="E80" s="219"/>
      <c r="F80" s="219"/>
      <c r="G80" s="219"/>
      <c r="H80" s="219"/>
      <c r="I80" s="184"/>
      <c r="J80" s="219"/>
      <c r="K80" s="219"/>
      <c r="L80" s="219"/>
      <c r="M80" s="219"/>
      <c r="N80" s="108"/>
      <c r="O80" s="82"/>
    </row>
    <row r="81" spans="1:15" x14ac:dyDescent="0.2">
      <c r="A81" s="21"/>
      <c r="B81" s="22"/>
      <c r="C81" s="112" t="str">
        <f t="shared" si="1"/>
        <v>-</v>
      </c>
      <c r="D81" s="14"/>
      <c r="E81" s="219"/>
      <c r="F81" s="219"/>
      <c r="G81" s="219"/>
      <c r="H81" s="219"/>
      <c r="I81" s="184"/>
      <c r="J81" s="219"/>
      <c r="K81" s="219"/>
      <c r="L81" s="219"/>
      <c r="M81" s="219"/>
      <c r="N81" s="108"/>
      <c r="O81" s="82"/>
    </row>
    <row r="82" spans="1:15" x14ac:dyDescent="0.2">
      <c r="A82" s="21"/>
      <c r="B82" s="22"/>
      <c r="C82" s="112" t="str">
        <f t="shared" si="1"/>
        <v>-</v>
      </c>
      <c r="D82" s="14"/>
      <c r="E82" s="218"/>
      <c r="F82" s="219"/>
      <c r="G82" s="219"/>
      <c r="H82" s="219"/>
      <c r="I82" s="184"/>
      <c r="J82" s="219"/>
      <c r="K82" s="219"/>
      <c r="L82" s="219"/>
      <c r="M82" s="219"/>
      <c r="N82" s="108"/>
      <c r="O82" s="82"/>
    </row>
    <row r="83" spans="1:15" x14ac:dyDescent="0.2">
      <c r="A83" s="21"/>
      <c r="B83" s="22"/>
      <c r="C83" s="112" t="str">
        <f t="shared" si="1"/>
        <v>-</v>
      </c>
      <c r="D83" s="14"/>
      <c r="E83" s="219"/>
      <c r="F83" s="219"/>
      <c r="G83" s="219"/>
      <c r="H83" s="219"/>
      <c r="I83" s="184"/>
      <c r="J83" s="219"/>
      <c r="K83" s="219"/>
      <c r="L83" s="219"/>
      <c r="M83" s="219"/>
      <c r="N83" s="108"/>
      <c r="O83" s="82"/>
    </row>
    <row r="84" spans="1:15" x14ac:dyDescent="0.2">
      <c r="A84" s="21"/>
      <c r="B84" s="22"/>
      <c r="C84" s="112" t="str">
        <f t="shared" si="1"/>
        <v>-</v>
      </c>
      <c r="D84" s="14"/>
      <c r="E84" s="219"/>
      <c r="F84" s="219"/>
      <c r="G84" s="219"/>
      <c r="H84" s="219"/>
      <c r="I84" s="184"/>
      <c r="J84" s="219"/>
      <c r="K84" s="219"/>
      <c r="L84" s="219"/>
      <c r="M84" s="219"/>
      <c r="N84" s="108"/>
      <c r="O84" s="82"/>
    </row>
    <row r="85" spans="1:15" x14ac:dyDescent="0.2">
      <c r="A85" s="21"/>
      <c r="B85" s="22"/>
      <c r="C85" s="112" t="str">
        <f t="shared" si="1"/>
        <v>-</v>
      </c>
      <c r="D85" s="14"/>
      <c r="E85" s="219"/>
      <c r="F85" s="219"/>
      <c r="G85" s="219"/>
      <c r="H85" s="219"/>
      <c r="I85" s="184"/>
      <c r="J85" s="219"/>
      <c r="K85" s="219"/>
      <c r="L85" s="219"/>
      <c r="M85" s="219"/>
      <c r="N85" s="108"/>
      <c r="O85" s="82"/>
    </row>
    <row r="86" spans="1:15" x14ac:dyDescent="0.2">
      <c r="A86" s="21"/>
      <c r="B86" s="22"/>
      <c r="C86" s="112" t="str">
        <f t="shared" si="1"/>
        <v>-</v>
      </c>
      <c r="D86" s="14"/>
      <c r="E86" s="219"/>
      <c r="F86" s="219"/>
      <c r="G86" s="219"/>
      <c r="H86" s="219"/>
      <c r="I86" s="184"/>
      <c r="J86" s="219"/>
      <c r="K86" s="219"/>
      <c r="L86" s="219"/>
      <c r="M86" s="219"/>
      <c r="N86" s="108"/>
      <c r="O86" s="82"/>
    </row>
    <row r="87" spans="1:15" x14ac:dyDescent="0.2">
      <c r="A87" s="21"/>
      <c r="B87" s="22"/>
      <c r="C87" s="112" t="str">
        <f t="shared" si="1"/>
        <v>-</v>
      </c>
      <c r="D87" s="14"/>
      <c r="E87" s="219"/>
      <c r="F87" s="219"/>
      <c r="G87" s="219"/>
      <c r="H87" s="219"/>
      <c r="I87" s="184"/>
      <c r="J87" s="219"/>
      <c r="K87" s="219"/>
      <c r="L87" s="219"/>
      <c r="M87" s="219"/>
      <c r="N87" s="108"/>
      <c r="O87" s="82"/>
    </row>
    <row r="88" spans="1:15" x14ac:dyDescent="0.2">
      <c r="A88" s="21"/>
      <c r="B88" s="22"/>
      <c r="C88" s="112" t="str">
        <f t="shared" si="1"/>
        <v>-</v>
      </c>
      <c r="D88" s="14"/>
      <c r="E88" s="219"/>
      <c r="F88" s="219"/>
      <c r="G88" s="219"/>
      <c r="H88" s="219"/>
      <c r="I88" s="184"/>
      <c r="J88" s="219"/>
      <c r="K88" s="219"/>
      <c r="L88" s="219"/>
      <c r="M88" s="219"/>
      <c r="N88" s="108"/>
      <c r="O88" s="82"/>
    </row>
    <row r="89" spans="1:15" x14ac:dyDescent="0.2">
      <c r="A89" s="21"/>
      <c r="B89" s="22"/>
      <c r="C89" s="112" t="str">
        <f t="shared" si="1"/>
        <v>-</v>
      </c>
      <c r="D89" s="14"/>
      <c r="E89" s="219"/>
      <c r="F89" s="219"/>
      <c r="G89" s="219"/>
      <c r="H89" s="219"/>
      <c r="I89" s="184"/>
      <c r="J89" s="219"/>
      <c r="K89" s="219"/>
      <c r="L89" s="219"/>
      <c r="M89" s="219"/>
      <c r="N89" s="108"/>
      <c r="O89" s="82"/>
    </row>
    <row r="90" spans="1:15" x14ac:dyDescent="0.2">
      <c r="A90" s="21"/>
      <c r="B90" s="22"/>
      <c r="C90" s="112" t="str">
        <f t="shared" si="1"/>
        <v>-</v>
      </c>
      <c r="D90" s="14"/>
      <c r="E90" s="219"/>
      <c r="F90" s="219"/>
      <c r="G90" s="219"/>
      <c r="H90" s="219"/>
      <c r="I90" s="184"/>
      <c r="J90" s="219"/>
      <c r="K90" s="219"/>
      <c r="L90" s="219"/>
      <c r="M90" s="219"/>
      <c r="N90" s="108"/>
      <c r="O90" s="82"/>
    </row>
    <row r="91" spans="1:15" x14ac:dyDescent="0.2">
      <c r="A91" s="21"/>
      <c r="B91" s="22"/>
      <c r="C91" s="112" t="str">
        <f t="shared" si="1"/>
        <v>-</v>
      </c>
      <c r="D91" s="14"/>
      <c r="E91" s="219"/>
      <c r="F91" s="219"/>
      <c r="G91" s="219"/>
      <c r="H91" s="219"/>
      <c r="I91" s="184"/>
      <c r="J91" s="219"/>
      <c r="K91" s="219"/>
      <c r="L91" s="219"/>
      <c r="M91" s="219"/>
      <c r="N91" s="108"/>
      <c r="O91" s="82"/>
    </row>
    <row r="92" spans="1:15" x14ac:dyDescent="0.2">
      <c r="A92" s="21"/>
      <c r="B92" s="22"/>
      <c r="C92" s="112" t="str">
        <f t="shared" si="1"/>
        <v>-</v>
      </c>
      <c r="D92" s="14"/>
      <c r="E92" s="219"/>
      <c r="F92" s="219"/>
      <c r="G92" s="219"/>
      <c r="H92" s="219"/>
      <c r="I92" s="184"/>
      <c r="J92" s="219"/>
      <c r="K92" s="219"/>
      <c r="L92" s="219"/>
      <c r="M92" s="219"/>
      <c r="N92" s="108"/>
      <c r="O92" s="82"/>
    </row>
    <row r="93" spans="1:15" x14ac:dyDescent="0.2">
      <c r="A93" s="21"/>
      <c r="B93" s="22"/>
      <c r="C93" s="112" t="str">
        <f t="shared" si="1"/>
        <v>-</v>
      </c>
      <c r="D93" s="14"/>
      <c r="E93" s="219"/>
      <c r="F93" s="219"/>
      <c r="G93" s="219"/>
      <c r="H93" s="219"/>
      <c r="I93" s="184"/>
      <c r="J93" s="219"/>
      <c r="K93" s="219"/>
      <c r="L93" s="219"/>
      <c r="M93" s="219"/>
      <c r="N93" s="108"/>
      <c r="O93" s="82"/>
    </row>
    <row r="94" spans="1:15" x14ac:dyDescent="0.2">
      <c r="A94" s="21"/>
      <c r="B94" s="22"/>
      <c r="C94" s="112" t="str">
        <f t="shared" si="1"/>
        <v>-</v>
      </c>
      <c r="D94" s="14"/>
      <c r="E94" s="219"/>
      <c r="F94" s="219"/>
      <c r="G94" s="219"/>
      <c r="H94" s="219"/>
      <c r="I94" s="184"/>
      <c r="J94" s="219"/>
      <c r="K94" s="219"/>
      <c r="L94" s="219"/>
      <c r="M94" s="219"/>
      <c r="N94" s="108"/>
      <c r="O94" s="82"/>
    </row>
    <row r="95" spans="1:15" x14ac:dyDescent="0.2">
      <c r="A95" s="21"/>
      <c r="B95" s="22"/>
      <c r="C95" s="112" t="str">
        <f t="shared" si="1"/>
        <v>-</v>
      </c>
      <c r="D95" s="14"/>
      <c r="E95" s="219"/>
      <c r="F95" s="219"/>
      <c r="G95" s="219"/>
      <c r="H95" s="219"/>
      <c r="I95" s="184"/>
      <c r="J95" s="219"/>
      <c r="K95" s="219"/>
      <c r="L95" s="219"/>
      <c r="M95" s="219"/>
      <c r="N95" s="108"/>
      <c r="O95" s="82"/>
    </row>
    <row r="96" spans="1:15" x14ac:dyDescent="0.2">
      <c r="A96" s="21"/>
      <c r="B96" s="22"/>
      <c r="C96" s="112" t="str">
        <f t="shared" si="1"/>
        <v>-</v>
      </c>
      <c r="D96" s="14"/>
      <c r="E96" s="219"/>
      <c r="F96" s="219"/>
      <c r="G96" s="219"/>
      <c r="H96" s="219"/>
      <c r="I96" s="184"/>
      <c r="J96" s="219"/>
      <c r="K96" s="219"/>
      <c r="L96" s="219"/>
      <c r="M96" s="219"/>
      <c r="N96" s="108"/>
      <c r="O96" s="82"/>
    </row>
    <row r="97" spans="1:15" x14ac:dyDescent="0.2">
      <c r="A97" s="21"/>
      <c r="B97" s="22"/>
      <c r="C97" s="112" t="str">
        <f t="shared" si="1"/>
        <v>-</v>
      </c>
      <c r="D97" s="14"/>
      <c r="E97" s="219"/>
      <c r="F97" s="219"/>
      <c r="G97" s="219"/>
      <c r="H97" s="219"/>
      <c r="I97" s="184"/>
      <c r="J97" s="219"/>
      <c r="K97" s="219"/>
      <c r="L97" s="219"/>
      <c r="M97" s="219"/>
      <c r="N97" s="108"/>
      <c r="O97" s="82"/>
    </row>
    <row r="98" spans="1:15" x14ac:dyDescent="0.2">
      <c r="A98" s="21"/>
      <c r="B98" s="22"/>
      <c r="C98" s="112" t="str">
        <f t="shared" si="1"/>
        <v>-</v>
      </c>
      <c r="D98" s="14"/>
      <c r="E98" s="219"/>
      <c r="F98" s="219"/>
      <c r="G98" s="219"/>
      <c r="H98" s="219"/>
      <c r="I98" s="184"/>
      <c r="J98" s="219"/>
      <c r="K98" s="219"/>
      <c r="L98" s="219"/>
      <c r="M98" s="219"/>
      <c r="N98" s="108"/>
      <c r="O98" s="82"/>
    </row>
    <row r="99" spans="1:15" x14ac:dyDescent="0.2">
      <c r="A99" s="21"/>
      <c r="B99" s="22"/>
      <c r="C99" s="112" t="str">
        <f t="shared" si="1"/>
        <v>-</v>
      </c>
      <c r="D99" s="14"/>
      <c r="E99" s="219"/>
      <c r="F99" s="219"/>
      <c r="G99" s="219"/>
      <c r="H99" s="219"/>
      <c r="I99" s="184"/>
      <c r="J99" s="219"/>
      <c r="K99" s="219"/>
      <c r="L99" s="219"/>
      <c r="M99" s="219"/>
      <c r="N99" s="108"/>
      <c r="O99" s="82"/>
    </row>
    <row r="100" spans="1:15" x14ac:dyDescent="0.2">
      <c r="A100" s="21"/>
      <c r="B100" s="22"/>
      <c r="C100" s="112" t="str">
        <f t="shared" si="1"/>
        <v>-</v>
      </c>
      <c r="D100" s="14"/>
      <c r="E100" s="219"/>
      <c r="F100" s="219"/>
      <c r="G100" s="219"/>
      <c r="H100" s="219"/>
      <c r="I100" s="184"/>
      <c r="J100" s="219"/>
      <c r="K100" s="219"/>
      <c r="L100" s="219"/>
      <c r="M100" s="219"/>
      <c r="N100" s="108"/>
      <c r="O100" s="82"/>
    </row>
    <row r="101" spans="1:15" x14ac:dyDescent="0.2">
      <c r="A101" s="21"/>
      <c r="B101" s="22"/>
      <c r="C101" s="112" t="str">
        <f t="shared" si="1"/>
        <v>-</v>
      </c>
      <c r="D101" s="14"/>
      <c r="E101" s="219"/>
      <c r="F101" s="219"/>
      <c r="G101" s="219"/>
      <c r="H101" s="219"/>
      <c r="I101" s="184"/>
      <c r="J101" s="219"/>
      <c r="K101" s="219"/>
      <c r="L101" s="219"/>
      <c r="M101" s="219"/>
      <c r="N101" s="108"/>
      <c r="O101" s="82"/>
    </row>
    <row r="102" spans="1:15" x14ac:dyDescent="0.2">
      <c r="A102" s="21"/>
      <c r="B102" s="22"/>
      <c r="C102" s="112" t="str">
        <f t="shared" si="1"/>
        <v>-</v>
      </c>
      <c r="D102" s="14"/>
      <c r="E102" s="219"/>
      <c r="F102" s="219"/>
      <c r="G102" s="219"/>
      <c r="H102" s="219"/>
      <c r="I102" s="184"/>
      <c r="J102" s="219"/>
      <c r="K102" s="219"/>
      <c r="L102" s="219"/>
      <c r="M102" s="219"/>
      <c r="N102" s="108"/>
      <c r="O102" s="82"/>
    </row>
    <row r="103" spans="1:15" x14ac:dyDescent="0.2">
      <c r="A103" s="21"/>
      <c r="B103" s="22"/>
      <c r="C103" s="112" t="str">
        <f t="shared" si="1"/>
        <v>-</v>
      </c>
      <c r="D103" s="14"/>
      <c r="E103" s="219"/>
      <c r="F103" s="219"/>
      <c r="G103" s="219"/>
      <c r="H103" s="219"/>
      <c r="I103" s="184"/>
      <c r="J103" s="219"/>
      <c r="K103" s="219"/>
      <c r="L103" s="219"/>
      <c r="M103" s="219"/>
      <c r="N103" s="108"/>
      <c r="O103" s="82"/>
    </row>
    <row r="104" spans="1:15" x14ac:dyDescent="0.2">
      <c r="A104" s="21"/>
      <c r="B104" s="22"/>
      <c r="C104" s="112" t="str">
        <f t="shared" si="1"/>
        <v>-</v>
      </c>
      <c r="D104" s="14"/>
      <c r="E104" s="219"/>
      <c r="F104" s="219"/>
      <c r="G104" s="219"/>
      <c r="H104" s="219"/>
      <c r="I104" s="184"/>
      <c r="J104" s="219"/>
      <c r="K104" s="219"/>
      <c r="L104" s="219"/>
      <c r="M104" s="219"/>
      <c r="N104" s="108"/>
      <c r="O104" s="82"/>
    </row>
    <row r="105" spans="1:15" x14ac:dyDescent="0.2">
      <c r="A105" s="21"/>
      <c r="B105" s="22"/>
      <c r="C105" s="112" t="str">
        <f t="shared" si="1"/>
        <v>-</v>
      </c>
      <c r="D105" s="14"/>
      <c r="E105" s="219"/>
      <c r="F105" s="219"/>
      <c r="G105" s="219"/>
      <c r="H105" s="219"/>
      <c r="I105" s="184"/>
      <c r="J105" s="219"/>
      <c r="K105" s="219"/>
      <c r="L105" s="219"/>
      <c r="M105" s="219"/>
      <c r="N105" s="108"/>
      <c r="O105" s="82"/>
    </row>
    <row r="106" spans="1:15" x14ac:dyDescent="0.2">
      <c r="A106" s="21"/>
      <c r="B106" s="22"/>
      <c r="C106" s="112" t="str">
        <f t="shared" si="1"/>
        <v>-</v>
      </c>
      <c r="D106" s="14"/>
      <c r="E106" s="219"/>
      <c r="F106" s="219"/>
      <c r="G106" s="219"/>
      <c r="H106" s="219"/>
      <c r="I106" s="184"/>
      <c r="J106" s="219"/>
      <c r="K106" s="219"/>
      <c r="L106" s="219"/>
      <c r="M106" s="219"/>
      <c r="N106" s="108"/>
      <c r="O106" s="82"/>
    </row>
    <row r="107" spans="1:15" x14ac:dyDescent="0.2">
      <c r="A107" s="21"/>
      <c r="B107" s="22"/>
      <c r="C107" s="112" t="str">
        <f t="shared" si="1"/>
        <v>-</v>
      </c>
      <c r="D107" s="14"/>
      <c r="E107" s="219"/>
      <c r="F107" s="219"/>
      <c r="G107" s="219"/>
      <c r="H107" s="219"/>
      <c r="I107" s="184"/>
      <c r="J107" s="219"/>
      <c r="K107" s="219"/>
      <c r="L107" s="219"/>
      <c r="M107" s="219"/>
      <c r="N107" s="108"/>
      <c r="O107" s="82"/>
    </row>
    <row r="108" spans="1:15" x14ac:dyDescent="0.2">
      <c r="A108" s="21"/>
      <c r="B108" s="22"/>
      <c r="C108" s="112" t="str">
        <f t="shared" si="1"/>
        <v>-</v>
      </c>
      <c r="D108" s="14"/>
      <c r="E108" s="219"/>
      <c r="F108" s="219"/>
      <c r="G108" s="219"/>
      <c r="H108" s="219"/>
      <c r="I108" s="184"/>
      <c r="J108" s="219"/>
      <c r="K108" s="219"/>
      <c r="L108" s="219"/>
      <c r="M108" s="219"/>
      <c r="N108" s="108"/>
      <c r="O108" s="82"/>
    </row>
    <row r="109" spans="1:15" x14ac:dyDescent="0.2">
      <c r="A109" s="21"/>
      <c r="B109" s="22"/>
      <c r="C109" s="112" t="str">
        <f t="shared" si="1"/>
        <v>-</v>
      </c>
      <c r="D109" s="14"/>
      <c r="E109" s="219"/>
      <c r="F109" s="219"/>
      <c r="G109" s="219"/>
      <c r="H109" s="219"/>
      <c r="I109" s="184"/>
      <c r="J109" s="219"/>
      <c r="K109" s="219"/>
      <c r="L109" s="219"/>
      <c r="M109" s="219"/>
      <c r="N109" s="108"/>
      <c r="O109" s="82"/>
    </row>
    <row r="110" spans="1:15" x14ac:dyDescent="0.2">
      <c r="A110" s="21"/>
      <c r="B110" s="22"/>
      <c r="C110" s="112" t="str">
        <f t="shared" si="1"/>
        <v>-</v>
      </c>
      <c r="D110" s="14"/>
      <c r="E110" s="219"/>
      <c r="F110" s="219"/>
      <c r="G110" s="219"/>
      <c r="H110" s="219"/>
      <c r="I110" s="184"/>
      <c r="J110" s="219"/>
      <c r="K110" s="219"/>
      <c r="L110" s="219"/>
      <c r="M110" s="219"/>
      <c r="N110" s="108"/>
      <c r="O110" s="82"/>
    </row>
    <row r="111" spans="1:15" x14ac:dyDescent="0.2">
      <c r="A111" s="21"/>
      <c r="B111" s="22"/>
      <c r="C111" s="112" t="str">
        <f t="shared" si="1"/>
        <v>-</v>
      </c>
      <c r="D111" s="14"/>
      <c r="E111" s="219"/>
      <c r="F111" s="219"/>
      <c r="G111" s="219"/>
      <c r="H111" s="219"/>
      <c r="I111" s="184"/>
      <c r="J111" s="219"/>
      <c r="K111" s="219"/>
      <c r="L111" s="219"/>
      <c r="M111" s="219"/>
      <c r="N111" s="108"/>
      <c r="O111" s="82"/>
    </row>
    <row r="112" spans="1:15" x14ac:dyDescent="0.2">
      <c r="A112" s="21"/>
      <c r="B112" s="22"/>
      <c r="C112" s="112" t="str">
        <f t="shared" si="1"/>
        <v>-</v>
      </c>
      <c r="D112" s="14"/>
      <c r="E112" s="219"/>
      <c r="F112" s="219"/>
      <c r="G112" s="219"/>
      <c r="H112" s="219"/>
      <c r="I112" s="184"/>
      <c r="J112" s="219"/>
      <c r="K112" s="219"/>
      <c r="L112" s="219"/>
      <c r="M112" s="219"/>
      <c r="N112" s="108"/>
      <c r="O112" s="82"/>
    </row>
    <row r="113" spans="1:15" x14ac:dyDescent="0.2">
      <c r="A113" s="21"/>
      <c r="B113" s="22"/>
      <c r="C113" s="112" t="str">
        <f t="shared" si="1"/>
        <v>-</v>
      </c>
      <c r="D113" s="14"/>
      <c r="E113" s="219"/>
      <c r="F113" s="219"/>
      <c r="G113" s="219"/>
      <c r="H113" s="219"/>
      <c r="I113" s="184"/>
      <c r="J113" s="219"/>
      <c r="K113" s="219"/>
      <c r="L113" s="219"/>
      <c r="M113" s="219"/>
      <c r="N113" s="108"/>
      <c r="O113" s="82"/>
    </row>
    <row r="114" spans="1:15" x14ac:dyDescent="0.2">
      <c r="A114" s="21"/>
      <c r="B114" s="22"/>
      <c r="C114" s="112" t="str">
        <f t="shared" si="1"/>
        <v>-</v>
      </c>
      <c r="D114" s="14"/>
      <c r="E114" s="219"/>
      <c r="F114" s="219"/>
      <c r="G114" s="219"/>
      <c r="H114" s="219"/>
      <c r="I114" s="184"/>
      <c r="J114" s="219"/>
      <c r="K114" s="219"/>
      <c r="L114" s="219"/>
      <c r="M114" s="219"/>
      <c r="N114" s="108"/>
      <c r="O114" s="82"/>
    </row>
    <row r="115" spans="1:15" x14ac:dyDescent="0.2">
      <c r="A115" s="21"/>
      <c r="B115" s="22"/>
      <c r="C115" s="112" t="str">
        <f t="shared" si="1"/>
        <v>-</v>
      </c>
      <c r="D115" s="14"/>
      <c r="E115" s="219"/>
      <c r="F115" s="219"/>
      <c r="G115" s="219"/>
      <c r="H115" s="219"/>
      <c r="I115" s="184"/>
      <c r="J115" s="219"/>
      <c r="K115" s="219"/>
      <c r="L115" s="219"/>
      <c r="M115" s="219"/>
      <c r="N115" s="108"/>
      <c r="O115" s="82"/>
    </row>
    <row r="116" spans="1:15" x14ac:dyDescent="0.2">
      <c r="A116" s="21"/>
      <c r="B116" s="22"/>
      <c r="C116" s="112" t="str">
        <f t="shared" si="1"/>
        <v>-</v>
      </c>
      <c r="D116" s="14"/>
      <c r="E116" s="219"/>
      <c r="F116" s="219"/>
      <c r="G116" s="219"/>
      <c r="H116" s="219"/>
      <c r="I116" s="184"/>
      <c r="J116" s="219"/>
      <c r="K116" s="219"/>
      <c r="L116" s="219"/>
      <c r="M116" s="219"/>
      <c r="N116" s="108"/>
      <c r="O116" s="82"/>
    </row>
    <row r="117" spans="1:15" x14ac:dyDescent="0.2">
      <c r="A117" s="21"/>
      <c r="B117" s="22"/>
      <c r="C117" s="112" t="str">
        <f t="shared" si="1"/>
        <v>-</v>
      </c>
      <c r="D117" s="14"/>
      <c r="E117" s="219"/>
      <c r="F117" s="219"/>
      <c r="G117" s="219"/>
      <c r="H117" s="219"/>
      <c r="I117" s="184"/>
      <c r="J117" s="219"/>
      <c r="K117" s="219"/>
      <c r="L117" s="219"/>
      <c r="M117" s="219"/>
      <c r="N117" s="108"/>
      <c r="O117" s="82"/>
    </row>
    <row r="118" spans="1:15" x14ac:dyDescent="0.2">
      <c r="A118" s="21"/>
      <c r="B118" s="22"/>
      <c r="C118" s="112" t="str">
        <f t="shared" si="1"/>
        <v>-</v>
      </c>
      <c r="D118" s="14"/>
      <c r="E118" s="219"/>
      <c r="F118" s="219"/>
      <c r="G118" s="219"/>
      <c r="H118" s="219"/>
      <c r="I118" s="184"/>
      <c r="J118" s="219"/>
      <c r="K118" s="219"/>
      <c r="L118" s="219"/>
      <c r="M118" s="219"/>
      <c r="N118" s="108"/>
      <c r="O118" s="82"/>
    </row>
    <row r="119" spans="1:15" x14ac:dyDescent="0.2">
      <c r="A119" s="21"/>
      <c r="B119" s="22"/>
      <c r="C119" s="112" t="str">
        <f t="shared" si="1"/>
        <v>-</v>
      </c>
      <c r="D119" s="14"/>
      <c r="E119" s="219"/>
      <c r="F119" s="219"/>
      <c r="G119" s="219"/>
      <c r="H119" s="219"/>
      <c r="I119" s="184"/>
      <c r="J119" s="219"/>
      <c r="K119" s="219"/>
      <c r="L119" s="219"/>
      <c r="M119" s="219"/>
      <c r="N119" s="108"/>
      <c r="O119" s="82"/>
    </row>
    <row r="120" spans="1:15" x14ac:dyDescent="0.2">
      <c r="A120" s="21"/>
      <c r="B120" s="22"/>
      <c r="C120" s="112" t="str">
        <f t="shared" si="1"/>
        <v>-</v>
      </c>
      <c r="D120" s="14"/>
      <c r="E120" s="219"/>
      <c r="F120" s="219"/>
      <c r="G120" s="219"/>
      <c r="H120" s="219"/>
      <c r="I120" s="184"/>
      <c r="J120" s="219"/>
      <c r="K120" s="219"/>
      <c r="L120" s="219"/>
      <c r="M120" s="219"/>
      <c r="N120" s="108"/>
      <c r="O120" s="82"/>
    </row>
    <row r="121" spans="1:15" x14ac:dyDescent="0.2">
      <c r="A121" s="21"/>
      <c r="B121" s="22"/>
      <c r="C121" s="112" t="str">
        <f t="shared" si="1"/>
        <v>-</v>
      </c>
      <c r="D121" s="14"/>
      <c r="E121" s="219"/>
      <c r="F121" s="219"/>
      <c r="G121" s="219"/>
      <c r="H121" s="219"/>
      <c r="I121" s="184"/>
      <c r="J121" s="219"/>
      <c r="K121" s="219"/>
      <c r="L121" s="219"/>
      <c r="M121" s="219"/>
      <c r="N121" s="108"/>
      <c r="O121" s="82"/>
    </row>
    <row r="122" spans="1:15" x14ac:dyDescent="0.2">
      <c r="A122" s="21"/>
      <c r="B122" s="22"/>
      <c r="C122" s="112" t="str">
        <f t="shared" si="1"/>
        <v>-</v>
      </c>
      <c r="D122" s="14"/>
      <c r="E122" s="219"/>
      <c r="F122" s="219"/>
      <c r="G122" s="219"/>
      <c r="H122" s="219"/>
      <c r="I122" s="184"/>
      <c r="J122" s="219"/>
      <c r="K122" s="219"/>
      <c r="L122" s="219"/>
      <c r="M122" s="219"/>
      <c r="N122" s="108"/>
      <c r="O122" s="82"/>
    </row>
    <row r="123" spans="1:15" x14ac:dyDescent="0.2">
      <c r="A123" s="21"/>
      <c r="B123" s="22"/>
      <c r="C123" s="112" t="str">
        <f t="shared" si="1"/>
        <v>-</v>
      </c>
      <c r="D123" s="14"/>
      <c r="E123" s="219"/>
      <c r="F123" s="219"/>
      <c r="G123" s="219"/>
      <c r="H123" s="219"/>
      <c r="I123" s="184"/>
      <c r="J123" s="219"/>
      <c r="K123" s="219"/>
      <c r="L123" s="219"/>
      <c r="M123" s="219"/>
      <c r="N123" s="108"/>
      <c r="O123" s="82"/>
    </row>
    <row r="124" spans="1:15" x14ac:dyDescent="0.2">
      <c r="A124" s="21"/>
      <c r="B124" s="22"/>
      <c r="C124" s="112" t="str">
        <f t="shared" si="1"/>
        <v>-</v>
      </c>
      <c r="D124" s="14"/>
      <c r="E124" s="219"/>
      <c r="F124" s="219"/>
      <c r="G124" s="219"/>
      <c r="H124" s="219"/>
      <c r="I124" s="184"/>
      <c r="J124" s="219"/>
      <c r="K124" s="219"/>
      <c r="L124" s="219"/>
      <c r="M124" s="219"/>
      <c r="N124" s="108"/>
      <c r="O124" s="82"/>
    </row>
    <row r="125" spans="1:15" x14ac:dyDescent="0.2">
      <c r="A125" s="21"/>
      <c r="B125" s="22"/>
      <c r="C125" s="112" t="str">
        <f t="shared" si="1"/>
        <v>-</v>
      </c>
      <c r="D125" s="14"/>
      <c r="E125" s="219"/>
      <c r="F125" s="219"/>
      <c r="G125" s="219"/>
      <c r="H125" s="219"/>
      <c r="I125" s="184"/>
      <c r="J125" s="219"/>
      <c r="K125" s="219"/>
      <c r="L125" s="219"/>
      <c r="M125" s="219"/>
      <c r="N125" s="108"/>
      <c r="O125" s="82"/>
    </row>
    <row r="126" spans="1:15" x14ac:dyDescent="0.2">
      <c r="A126" s="21"/>
      <c r="B126" s="22"/>
      <c r="C126" s="112" t="str">
        <f t="shared" si="1"/>
        <v>-</v>
      </c>
      <c r="D126" s="14"/>
      <c r="E126" s="219"/>
      <c r="F126" s="219"/>
      <c r="G126" s="219"/>
      <c r="H126" s="219"/>
      <c r="I126" s="184"/>
      <c r="J126" s="219"/>
      <c r="K126" s="219"/>
      <c r="L126" s="219"/>
      <c r="M126" s="219"/>
      <c r="N126" s="108"/>
      <c r="O126" s="82"/>
    </row>
    <row r="127" spans="1:15" x14ac:dyDescent="0.2">
      <c r="A127" s="21"/>
      <c r="B127" s="22"/>
      <c r="C127" s="112" t="str">
        <f t="shared" si="1"/>
        <v>-</v>
      </c>
      <c r="D127" s="14"/>
      <c r="E127" s="219"/>
      <c r="F127" s="219"/>
      <c r="G127" s="219"/>
      <c r="H127" s="219"/>
      <c r="I127" s="184"/>
      <c r="J127" s="219"/>
      <c r="K127" s="219"/>
      <c r="L127" s="219"/>
      <c r="M127" s="219"/>
      <c r="N127" s="108"/>
      <c r="O127" s="82"/>
    </row>
    <row r="128" spans="1:15" x14ac:dyDescent="0.2">
      <c r="A128" s="21"/>
      <c r="B128" s="22"/>
      <c r="C128" s="112" t="str">
        <f t="shared" si="1"/>
        <v>-</v>
      </c>
      <c r="D128" s="14"/>
      <c r="E128" s="219"/>
      <c r="F128" s="219"/>
      <c r="G128" s="219"/>
      <c r="H128" s="219"/>
      <c r="I128" s="184"/>
      <c r="J128" s="219"/>
      <c r="K128" s="219"/>
      <c r="L128" s="219"/>
      <c r="M128" s="219"/>
      <c r="N128" s="108"/>
      <c r="O128" s="82"/>
    </row>
    <row r="129" spans="1:15" x14ac:dyDescent="0.2">
      <c r="A129" s="21"/>
      <c r="B129" s="22"/>
      <c r="C129" s="112" t="str">
        <f t="shared" si="1"/>
        <v>-</v>
      </c>
      <c r="D129" s="14"/>
      <c r="E129" s="219"/>
      <c r="F129" s="219"/>
      <c r="G129" s="219"/>
      <c r="H129" s="219"/>
      <c r="I129" s="184"/>
      <c r="J129" s="219"/>
      <c r="K129" s="219"/>
      <c r="L129" s="219"/>
      <c r="M129" s="219"/>
      <c r="N129" s="108"/>
      <c r="O129" s="82"/>
    </row>
    <row r="130" spans="1:15" x14ac:dyDescent="0.2">
      <c r="A130" s="21"/>
      <c r="B130" s="22"/>
      <c r="C130" s="112" t="str">
        <f t="shared" si="1"/>
        <v>-</v>
      </c>
      <c r="D130" s="14"/>
      <c r="E130" s="219"/>
      <c r="F130" s="219"/>
      <c r="G130" s="219"/>
      <c r="H130" s="219"/>
      <c r="I130" s="184"/>
      <c r="J130" s="219"/>
      <c r="K130" s="219"/>
      <c r="L130" s="219"/>
      <c r="M130" s="219"/>
      <c r="N130" s="108"/>
      <c r="O130" s="82"/>
    </row>
    <row r="131" spans="1:15" x14ac:dyDescent="0.2">
      <c r="A131" s="21"/>
      <c r="B131" s="22"/>
      <c r="C131" s="112" t="str">
        <f t="shared" si="1"/>
        <v>-</v>
      </c>
      <c r="D131" s="14"/>
      <c r="E131" s="219"/>
      <c r="F131" s="219"/>
      <c r="G131" s="219"/>
      <c r="H131" s="219"/>
      <c r="I131" s="184"/>
      <c r="J131" s="219"/>
      <c r="K131" s="219"/>
      <c r="L131" s="219"/>
      <c r="M131" s="219"/>
      <c r="N131" s="108"/>
      <c r="O131" s="82"/>
    </row>
    <row r="132" spans="1:15" x14ac:dyDescent="0.2">
      <c r="A132" s="21"/>
      <c r="B132" s="22"/>
      <c r="C132" s="112" t="str">
        <f t="shared" si="1"/>
        <v>-</v>
      </c>
      <c r="D132" s="14"/>
      <c r="E132" s="219"/>
      <c r="F132" s="219"/>
      <c r="G132" s="219"/>
      <c r="H132" s="219"/>
      <c r="I132" s="184"/>
      <c r="J132" s="219"/>
      <c r="K132" s="219"/>
      <c r="L132" s="219"/>
      <c r="M132" s="219"/>
      <c r="N132" s="108"/>
      <c r="O132" s="82"/>
    </row>
    <row r="133" spans="1:15" x14ac:dyDescent="0.2">
      <c r="A133" s="21"/>
      <c r="B133" s="22"/>
      <c r="C133" s="112" t="str">
        <f t="shared" si="1"/>
        <v>-</v>
      </c>
      <c r="D133" s="14"/>
      <c r="E133" s="219"/>
      <c r="F133" s="219"/>
      <c r="G133" s="219"/>
      <c r="H133" s="219"/>
      <c r="I133" s="184"/>
      <c r="J133" s="219"/>
      <c r="K133" s="219"/>
      <c r="L133" s="219"/>
      <c r="M133" s="219"/>
      <c r="N133" s="108"/>
      <c r="O133" s="82"/>
    </row>
    <row r="134" spans="1:15" x14ac:dyDescent="0.2">
      <c r="A134" s="21"/>
      <c r="B134" s="22"/>
      <c r="C134" s="112" t="str">
        <f t="shared" si="1"/>
        <v>-</v>
      </c>
      <c r="D134" s="14"/>
      <c r="E134" s="219"/>
      <c r="F134" s="219"/>
      <c r="G134" s="219"/>
      <c r="H134" s="219"/>
      <c r="I134" s="184"/>
      <c r="J134" s="219"/>
      <c r="K134" s="219"/>
      <c r="L134" s="219"/>
      <c r="M134" s="219"/>
      <c r="N134" s="108"/>
      <c r="O134" s="82"/>
    </row>
    <row r="135" spans="1:15" x14ac:dyDescent="0.2">
      <c r="A135" s="21"/>
      <c r="B135" s="22"/>
      <c r="C135" s="112" t="str">
        <f t="shared" si="1"/>
        <v>-</v>
      </c>
      <c r="D135" s="14"/>
      <c r="E135" s="219"/>
      <c r="F135" s="219"/>
      <c r="G135" s="219"/>
      <c r="H135" s="219"/>
      <c r="I135" s="184"/>
      <c r="J135" s="219"/>
      <c r="K135" s="219"/>
      <c r="L135" s="219"/>
      <c r="M135" s="219"/>
      <c r="N135" s="108"/>
      <c r="O135" s="82"/>
    </row>
    <row r="136" spans="1:15" x14ac:dyDescent="0.2">
      <c r="A136" s="21"/>
      <c r="B136" s="22"/>
      <c r="C136" s="112" t="str">
        <f t="shared" si="1"/>
        <v>-</v>
      </c>
      <c r="D136" s="14"/>
      <c r="E136" s="219"/>
      <c r="F136" s="219"/>
      <c r="G136" s="219"/>
      <c r="H136" s="219"/>
      <c r="I136" s="184"/>
      <c r="J136" s="219"/>
      <c r="K136" s="219"/>
      <c r="L136" s="219"/>
      <c r="M136" s="219"/>
      <c r="N136" s="108"/>
      <c r="O136" s="82"/>
    </row>
    <row r="137" spans="1:15" x14ac:dyDescent="0.2">
      <c r="A137" s="21"/>
      <c r="B137" s="22"/>
      <c r="C137" s="112" t="str">
        <f t="shared" ref="C137:C200" si="2">IF(ISBLANK(B137),"-",B137*3600)</f>
        <v>-</v>
      </c>
      <c r="D137" s="14"/>
      <c r="E137" s="219"/>
      <c r="F137" s="219"/>
      <c r="G137" s="219"/>
      <c r="H137" s="219"/>
      <c r="I137" s="184"/>
      <c r="J137" s="219"/>
      <c r="K137" s="219"/>
      <c r="L137" s="219"/>
      <c r="M137" s="219"/>
      <c r="N137" s="108"/>
      <c r="O137" s="82"/>
    </row>
    <row r="138" spans="1:15" x14ac:dyDescent="0.2">
      <c r="A138" s="21"/>
      <c r="B138" s="22"/>
      <c r="C138" s="112" t="str">
        <f t="shared" si="2"/>
        <v>-</v>
      </c>
      <c r="D138" s="14"/>
      <c r="E138" s="219"/>
      <c r="F138" s="219"/>
      <c r="G138" s="219"/>
      <c r="H138" s="219"/>
      <c r="I138" s="184"/>
      <c r="J138" s="219"/>
      <c r="K138" s="219"/>
      <c r="L138" s="219"/>
      <c r="M138" s="219"/>
      <c r="N138" s="108"/>
      <c r="O138" s="82"/>
    </row>
    <row r="139" spans="1:15" x14ac:dyDescent="0.2">
      <c r="A139" s="21"/>
      <c r="B139" s="22"/>
      <c r="C139" s="112" t="str">
        <f t="shared" si="2"/>
        <v>-</v>
      </c>
      <c r="D139" s="14"/>
      <c r="E139" s="219"/>
      <c r="F139" s="219"/>
      <c r="G139" s="219"/>
      <c r="H139" s="219"/>
      <c r="I139" s="184"/>
      <c r="J139" s="219"/>
      <c r="K139" s="219"/>
      <c r="L139" s="219"/>
      <c r="M139" s="219"/>
      <c r="N139" s="108"/>
      <c r="O139" s="82"/>
    </row>
    <row r="140" spans="1:15" x14ac:dyDescent="0.2">
      <c r="A140" s="21"/>
      <c r="B140" s="22"/>
      <c r="C140" s="112" t="str">
        <f t="shared" si="2"/>
        <v>-</v>
      </c>
      <c r="D140" s="14"/>
      <c r="E140" s="219"/>
      <c r="F140" s="219"/>
      <c r="G140" s="219"/>
      <c r="H140" s="219"/>
      <c r="I140" s="184"/>
      <c r="J140" s="219"/>
      <c r="K140" s="219"/>
      <c r="L140" s="219"/>
      <c r="M140" s="219"/>
      <c r="N140" s="108"/>
      <c r="O140" s="82"/>
    </row>
    <row r="141" spans="1:15" x14ac:dyDescent="0.2">
      <c r="A141" s="21"/>
      <c r="B141" s="22"/>
      <c r="C141" s="112" t="str">
        <f t="shared" si="2"/>
        <v>-</v>
      </c>
      <c r="D141" s="14"/>
      <c r="E141" s="219"/>
      <c r="F141" s="219"/>
      <c r="G141" s="219"/>
      <c r="H141" s="219"/>
      <c r="I141" s="184"/>
      <c r="J141" s="219"/>
      <c r="K141" s="219"/>
      <c r="L141" s="219"/>
      <c r="M141" s="219"/>
      <c r="N141" s="108"/>
      <c r="O141" s="82"/>
    </row>
    <row r="142" spans="1:15" x14ac:dyDescent="0.2">
      <c r="A142" s="21"/>
      <c r="B142" s="22"/>
      <c r="C142" s="112" t="str">
        <f t="shared" si="2"/>
        <v>-</v>
      </c>
      <c r="D142" s="14"/>
      <c r="E142" s="219"/>
      <c r="F142" s="219"/>
      <c r="G142" s="219"/>
      <c r="H142" s="219"/>
      <c r="I142" s="184"/>
      <c r="J142" s="219"/>
      <c r="K142" s="219"/>
      <c r="L142" s="219"/>
      <c r="M142" s="219"/>
      <c r="N142" s="108"/>
      <c r="O142" s="82"/>
    </row>
    <row r="143" spans="1:15" x14ac:dyDescent="0.2">
      <c r="A143" s="21"/>
      <c r="B143" s="22"/>
      <c r="C143" s="112" t="str">
        <f t="shared" si="2"/>
        <v>-</v>
      </c>
      <c r="D143" s="14"/>
      <c r="E143" s="219"/>
      <c r="F143" s="219"/>
      <c r="G143" s="219"/>
      <c r="H143" s="219"/>
      <c r="I143" s="184"/>
      <c r="J143" s="219"/>
      <c r="K143" s="219"/>
      <c r="L143" s="219"/>
      <c r="M143" s="219"/>
      <c r="N143" s="108"/>
      <c r="O143" s="82"/>
    </row>
    <row r="144" spans="1:15" x14ac:dyDescent="0.2">
      <c r="A144" s="21"/>
      <c r="B144" s="22"/>
      <c r="C144" s="112" t="str">
        <f t="shared" si="2"/>
        <v>-</v>
      </c>
      <c r="D144" s="14"/>
      <c r="E144" s="219"/>
      <c r="F144" s="219"/>
      <c r="G144" s="219"/>
      <c r="H144" s="219"/>
      <c r="I144" s="184"/>
      <c r="J144" s="219"/>
      <c r="K144" s="219"/>
      <c r="L144" s="219"/>
      <c r="M144" s="219"/>
      <c r="N144" s="108"/>
      <c r="O144" s="82"/>
    </row>
    <row r="145" spans="1:15" x14ac:dyDescent="0.2">
      <c r="A145" s="21"/>
      <c r="B145" s="22"/>
      <c r="C145" s="112" t="str">
        <f t="shared" si="2"/>
        <v>-</v>
      </c>
      <c r="D145" s="14"/>
      <c r="E145" s="219"/>
      <c r="F145" s="219"/>
      <c r="G145" s="219"/>
      <c r="H145" s="219"/>
      <c r="I145" s="184"/>
      <c r="J145" s="219"/>
      <c r="K145" s="219"/>
      <c r="L145" s="219"/>
      <c r="M145" s="219"/>
      <c r="N145" s="108"/>
      <c r="O145" s="82"/>
    </row>
    <row r="146" spans="1:15" x14ac:dyDescent="0.2">
      <c r="A146" s="21"/>
      <c r="B146" s="22"/>
      <c r="C146" s="112" t="str">
        <f t="shared" si="2"/>
        <v>-</v>
      </c>
      <c r="D146" s="14"/>
      <c r="E146" s="219"/>
      <c r="F146" s="219"/>
      <c r="G146" s="219"/>
      <c r="H146" s="219"/>
      <c r="I146" s="184"/>
      <c r="J146" s="219"/>
      <c r="K146" s="219"/>
      <c r="L146" s="219"/>
      <c r="M146" s="219"/>
      <c r="N146" s="108"/>
      <c r="O146" s="82"/>
    </row>
    <row r="147" spans="1:15" x14ac:dyDescent="0.2">
      <c r="A147" s="21"/>
      <c r="B147" s="22"/>
      <c r="C147" s="112" t="str">
        <f t="shared" si="2"/>
        <v>-</v>
      </c>
      <c r="D147" s="14"/>
      <c r="E147" s="219"/>
      <c r="F147" s="219"/>
      <c r="G147" s="219"/>
      <c r="H147" s="219"/>
      <c r="I147" s="184"/>
      <c r="J147" s="219"/>
      <c r="K147" s="219"/>
      <c r="L147" s="219"/>
      <c r="M147" s="219"/>
      <c r="N147" s="108"/>
      <c r="O147" s="82"/>
    </row>
    <row r="148" spans="1:15" x14ac:dyDescent="0.2">
      <c r="A148" s="21"/>
      <c r="B148" s="22"/>
      <c r="C148" s="112" t="str">
        <f t="shared" si="2"/>
        <v>-</v>
      </c>
      <c r="D148" s="14"/>
      <c r="E148" s="219"/>
      <c r="F148" s="219"/>
      <c r="G148" s="219"/>
      <c r="H148" s="219"/>
      <c r="I148" s="184"/>
      <c r="J148" s="219"/>
      <c r="K148" s="219"/>
      <c r="L148" s="219"/>
      <c r="M148" s="219"/>
      <c r="N148" s="108"/>
      <c r="O148" s="82"/>
    </row>
    <row r="149" spans="1:15" x14ac:dyDescent="0.2">
      <c r="A149" s="21"/>
      <c r="B149" s="22"/>
      <c r="C149" s="112" t="str">
        <f t="shared" si="2"/>
        <v>-</v>
      </c>
      <c r="D149" s="14"/>
      <c r="E149" s="219"/>
      <c r="F149" s="219"/>
      <c r="G149" s="219"/>
      <c r="H149" s="219"/>
      <c r="I149" s="184"/>
      <c r="J149" s="219"/>
      <c r="K149" s="219"/>
      <c r="L149" s="219"/>
      <c r="M149" s="219"/>
      <c r="N149" s="108"/>
      <c r="O149" s="82"/>
    </row>
    <row r="150" spans="1:15" x14ac:dyDescent="0.2">
      <c r="A150" s="21"/>
      <c r="B150" s="22"/>
      <c r="C150" s="112" t="str">
        <f t="shared" si="2"/>
        <v>-</v>
      </c>
      <c r="D150" s="14"/>
      <c r="E150" s="219"/>
      <c r="F150" s="219"/>
      <c r="G150" s="219"/>
      <c r="H150" s="219"/>
      <c r="I150" s="184"/>
      <c r="J150" s="219"/>
      <c r="K150" s="219"/>
      <c r="L150" s="219"/>
      <c r="M150" s="219"/>
      <c r="N150" s="108"/>
      <c r="O150" s="82"/>
    </row>
    <row r="151" spans="1:15" x14ac:dyDescent="0.2">
      <c r="A151" s="21"/>
      <c r="B151" s="22"/>
      <c r="C151" s="112" t="str">
        <f t="shared" si="2"/>
        <v>-</v>
      </c>
      <c r="D151" s="14"/>
      <c r="E151" s="219"/>
      <c r="F151" s="219"/>
      <c r="G151" s="219"/>
      <c r="H151" s="219"/>
      <c r="I151" s="184"/>
      <c r="J151" s="219"/>
      <c r="K151" s="219"/>
      <c r="L151" s="219"/>
      <c r="M151" s="219"/>
      <c r="N151" s="108"/>
      <c r="O151" s="82"/>
    </row>
    <row r="152" spans="1:15" x14ac:dyDescent="0.2">
      <c r="A152" s="21"/>
      <c r="B152" s="22"/>
      <c r="C152" s="112" t="str">
        <f t="shared" si="2"/>
        <v>-</v>
      </c>
      <c r="D152" s="14"/>
      <c r="E152" s="219"/>
      <c r="F152" s="219"/>
      <c r="G152" s="219"/>
      <c r="H152" s="219"/>
      <c r="I152" s="184"/>
      <c r="J152" s="219"/>
      <c r="K152" s="219"/>
      <c r="L152" s="219"/>
      <c r="M152" s="219"/>
      <c r="N152" s="108"/>
      <c r="O152" s="82"/>
    </row>
    <row r="153" spans="1:15" x14ac:dyDescent="0.2">
      <c r="A153" s="21"/>
      <c r="B153" s="22"/>
      <c r="C153" s="112" t="str">
        <f t="shared" si="2"/>
        <v>-</v>
      </c>
      <c r="D153" s="14"/>
      <c r="E153" s="219"/>
      <c r="F153" s="219"/>
      <c r="G153" s="219"/>
      <c r="H153" s="219"/>
      <c r="I153" s="184"/>
      <c r="J153" s="219"/>
      <c r="K153" s="219"/>
      <c r="L153" s="219"/>
      <c r="M153" s="219"/>
      <c r="N153" s="108"/>
      <c r="O153" s="82"/>
    </row>
    <row r="154" spans="1:15" x14ac:dyDescent="0.2">
      <c r="A154" s="21"/>
      <c r="B154" s="22"/>
      <c r="C154" s="112" t="str">
        <f t="shared" si="2"/>
        <v>-</v>
      </c>
      <c r="D154" s="14"/>
      <c r="E154" s="219"/>
      <c r="F154" s="219"/>
      <c r="G154" s="219"/>
      <c r="H154" s="219"/>
      <c r="I154" s="184"/>
      <c r="J154" s="219"/>
      <c r="K154" s="219"/>
      <c r="L154" s="219"/>
      <c r="M154" s="219"/>
      <c r="N154" s="108"/>
      <c r="O154" s="82"/>
    </row>
    <row r="155" spans="1:15" x14ac:dyDescent="0.2">
      <c r="A155" s="21"/>
      <c r="B155" s="22"/>
      <c r="C155" s="112" t="str">
        <f t="shared" si="2"/>
        <v>-</v>
      </c>
      <c r="D155" s="14"/>
      <c r="E155" s="219"/>
      <c r="F155" s="219"/>
      <c r="G155" s="219"/>
      <c r="H155" s="219"/>
      <c r="I155" s="184"/>
      <c r="J155" s="219"/>
      <c r="K155" s="219"/>
      <c r="L155" s="219"/>
      <c r="M155" s="219"/>
      <c r="N155" s="108"/>
      <c r="O155" s="82"/>
    </row>
    <row r="156" spans="1:15" x14ac:dyDescent="0.2">
      <c r="A156" s="21"/>
      <c r="B156" s="22"/>
      <c r="C156" s="112" t="str">
        <f t="shared" si="2"/>
        <v>-</v>
      </c>
      <c r="D156" s="14"/>
      <c r="E156" s="219"/>
      <c r="F156" s="219"/>
      <c r="G156" s="219"/>
      <c r="H156" s="219"/>
      <c r="I156" s="184"/>
      <c r="J156" s="219"/>
      <c r="K156" s="219"/>
      <c r="L156" s="219"/>
      <c r="M156" s="219"/>
      <c r="N156" s="108"/>
      <c r="O156" s="82"/>
    </row>
    <row r="157" spans="1:15" x14ac:dyDescent="0.2">
      <c r="A157" s="21"/>
      <c r="B157" s="22"/>
      <c r="C157" s="112" t="str">
        <f t="shared" si="2"/>
        <v>-</v>
      </c>
      <c r="D157" s="14"/>
      <c r="E157" s="219"/>
      <c r="F157" s="219"/>
      <c r="G157" s="219"/>
      <c r="H157" s="219"/>
      <c r="I157" s="184"/>
      <c r="J157" s="219"/>
      <c r="K157" s="219"/>
      <c r="L157" s="219"/>
      <c r="M157" s="219"/>
      <c r="N157" s="108"/>
      <c r="O157" s="82"/>
    </row>
    <row r="158" spans="1:15" x14ac:dyDescent="0.2">
      <c r="A158" s="21"/>
      <c r="B158" s="22"/>
      <c r="C158" s="112" t="str">
        <f t="shared" si="2"/>
        <v>-</v>
      </c>
      <c r="D158" s="14"/>
      <c r="E158" s="219"/>
      <c r="F158" s="219"/>
      <c r="G158" s="219"/>
      <c r="H158" s="219"/>
      <c r="I158" s="184"/>
      <c r="J158" s="219"/>
      <c r="K158" s="219"/>
      <c r="L158" s="219"/>
      <c r="M158" s="219"/>
      <c r="N158" s="108"/>
      <c r="O158" s="82"/>
    </row>
    <row r="159" spans="1:15" x14ac:dyDescent="0.2">
      <c r="A159" s="21"/>
      <c r="B159" s="22"/>
      <c r="C159" s="112" t="str">
        <f t="shared" si="2"/>
        <v>-</v>
      </c>
      <c r="D159" s="14"/>
      <c r="E159" s="219"/>
      <c r="F159" s="219"/>
      <c r="G159" s="219"/>
      <c r="H159" s="219"/>
      <c r="I159" s="184"/>
      <c r="J159" s="219"/>
      <c r="K159" s="219"/>
      <c r="L159" s="219"/>
      <c r="M159" s="219"/>
      <c r="N159" s="108"/>
      <c r="O159" s="82"/>
    </row>
    <row r="160" spans="1:15" x14ac:dyDescent="0.2">
      <c r="A160" s="21"/>
      <c r="B160" s="22"/>
      <c r="C160" s="112" t="str">
        <f t="shared" si="2"/>
        <v>-</v>
      </c>
      <c r="D160" s="14"/>
      <c r="E160" s="219"/>
      <c r="F160" s="219"/>
      <c r="G160" s="219"/>
      <c r="H160" s="219"/>
      <c r="I160" s="184"/>
      <c r="J160" s="219"/>
      <c r="K160" s="219"/>
      <c r="L160" s="219"/>
      <c r="M160" s="219"/>
      <c r="N160" s="108"/>
      <c r="O160" s="82"/>
    </row>
    <row r="161" spans="1:15" x14ac:dyDescent="0.2">
      <c r="A161" s="21"/>
      <c r="B161" s="22"/>
      <c r="C161" s="112" t="str">
        <f t="shared" si="2"/>
        <v>-</v>
      </c>
      <c r="D161" s="14"/>
      <c r="E161" s="219"/>
      <c r="F161" s="219"/>
      <c r="G161" s="219"/>
      <c r="H161" s="219"/>
      <c r="I161" s="184"/>
      <c r="J161" s="219"/>
      <c r="K161" s="219"/>
      <c r="L161" s="219"/>
      <c r="M161" s="219"/>
      <c r="N161" s="108"/>
      <c r="O161" s="82"/>
    </row>
    <row r="162" spans="1:15" x14ac:dyDescent="0.2">
      <c r="A162" s="21"/>
      <c r="B162" s="22"/>
      <c r="C162" s="112" t="str">
        <f t="shared" si="2"/>
        <v>-</v>
      </c>
      <c r="D162" s="14"/>
      <c r="E162" s="219"/>
      <c r="F162" s="219"/>
      <c r="G162" s="219"/>
      <c r="H162" s="219"/>
      <c r="I162" s="184"/>
      <c r="J162" s="219"/>
      <c r="K162" s="219"/>
      <c r="L162" s="219"/>
      <c r="M162" s="219"/>
      <c r="N162" s="108"/>
      <c r="O162" s="82"/>
    </row>
    <row r="163" spans="1:15" x14ac:dyDescent="0.2">
      <c r="A163" s="21"/>
      <c r="B163" s="22"/>
      <c r="C163" s="112" t="str">
        <f t="shared" si="2"/>
        <v>-</v>
      </c>
      <c r="D163" s="14"/>
      <c r="E163" s="219"/>
      <c r="F163" s="219"/>
      <c r="G163" s="219"/>
      <c r="H163" s="219"/>
      <c r="I163" s="184"/>
      <c r="J163" s="219"/>
      <c r="K163" s="219"/>
      <c r="L163" s="219"/>
      <c r="M163" s="219"/>
      <c r="N163" s="108"/>
      <c r="O163" s="82"/>
    </row>
    <row r="164" spans="1:15" x14ac:dyDescent="0.2">
      <c r="A164" s="21"/>
      <c r="B164" s="22"/>
      <c r="C164" s="112" t="str">
        <f t="shared" si="2"/>
        <v>-</v>
      </c>
      <c r="D164" s="14"/>
      <c r="E164" s="219"/>
      <c r="F164" s="219"/>
      <c r="G164" s="219"/>
      <c r="H164" s="219"/>
      <c r="I164" s="184"/>
      <c r="J164" s="219"/>
      <c r="K164" s="219"/>
      <c r="L164" s="219"/>
      <c r="M164" s="219"/>
      <c r="N164" s="108"/>
      <c r="O164" s="82"/>
    </row>
    <row r="165" spans="1:15" x14ac:dyDescent="0.2">
      <c r="A165" s="21"/>
      <c r="B165" s="22"/>
      <c r="C165" s="112" t="str">
        <f t="shared" si="2"/>
        <v>-</v>
      </c>
      <c r="D165" s="14"/>
      <c r="E165" s="219"/>
      <c r="F165" s="219"/>
      <c r="G165" s="219"/>
      <c r="H165" s="219"/>
      <c r="I165" s="184"/>
      <c r="J165" s="219"/>
      <c r="K165" s="219"/>
      <c r="L165" s="219"/>
      <c r="M165" s="219"/>
      <c r="N165" s="108"/>
      <c r="O165" s="82"/>
    </row>
    <row r="166" spans="1:15" x14ac:dyDescent="0.2">
      <c r="A166" s="21"/>
      <c r="B166" s="22"/>
      <c r="C166" s="112" t="str">
        <f t="shared" si="2"/>
        <v>-</v>
      </c>
      <c r="D166" s="14"/>
      <c r="E166" s="219"/>
      <c r="F166" s="219"/>
      <c r="G166" s="219"/>
      <c r="H166" s="219"/>
      <c r="I166" s="184"/>
      <c r="J166" s="219"/>
      <c r="K166" s="219"/>
      <c r="L166" s="219"/>
      <c r="M166" s="219"/>
      <c r="N166" s="108"/>
      <c r="O166" s="82"/>
    </row>
    <row r="167" spans="1:15" x14ac:dyDescent="0.2">
      <c r="A167" s="21"/>
      <c r="B167" s="22"/>
      <c r="C167" s="112" t="str">
        <f t="shared" si="2"/>
        <v>-</v>
      </c>
      <c r="D167" s="14"/>
      <c r="E167" s="219"/>
      <c r="F167" s="219"/>
      <c r="G167" s="219"/>
      <c r="H167" s="219"/>
      <c r="I167" s="184"/>
      <c r="J167" s="219"/>
      <c r="K167" s="219"/>
      <c r="L167" s="219"/>
      <c r="M167" s="219"/>
      <c r="N167" s="108"/>
      <c r="O167" s="82"/>
    </row>
    <row r="168" spans="1:15" x14ac:dyDescent="0.2">
      <c r="A168" s="21"/>
      <c r="B168" s="22"/>
      <c r="C168" s="112" t="str">
        <f t="shared" si="2"/>
        <v>-</v>
      </c>
      <c r="D168" s="14"/>
      <c r="E168" s="219"/>
      <c r="F168" s="219"/>
      <c r="G168" s="219"/>
      <c r="H168" s="219"/>
      <c r="I168" s="184"/>
      <c r="J168" s="219"/>
      <c r="K168" s="219"/>
      <c r="L168" s="219"/>
      <c r="M168" s="219"/>
      <c r="N168" s="108"/>
      <c r="O168" s="82"/>
    </row>
    <row r="169" spans="1:15" x14ac:dyDescent="0.2">
      <c r="A169" s="21"/>
      <c r="B169" s="22"/>
      <c r="C169" s="112" t="str">
        <f t="shared" si="2"/>
        <v>-</v>
      </c>
      <c r="D169" s="14"/>
      <c r="E169" s="219"/>
      <c r="F169" s="219"/>
      <c r="G169" s="219"/>
      <c r="H169" s="219"/>
      <c r="I169" s="184"/>
      <c r="J169" s="219"/>
      <c r="K169" s="219"/>
      <c r="L169" s="219"/>
      <c r="M169" s="219"/>
      <c r="N169" s="108"/>
      <c r="O169" s="82"/>
    </row>
    <row r="170" spans="1:15" x14ac:dyDescent="0.2">
      <c r="A170" s="21"/>
      <c r="B170" s="22"/>
      <c r="C170" s="112" t="str">
        <f t="shared" si="2"/>
        <v>-</v>
      </c>
      <c r="D170" s="14"/>
      <c r="E170" s="219"/>
      <c r="F170" s="219"/>
      <c r="G170" s="219"/>
      <c r="H170" s="219"/>
      <c r="I170" s="184"/>
      <c r="J170" s="219"/>
      <c r="K170" s="219"/>
      <c r="L170" s="219"/>
      <c r="M170" s="219"/>
      <c r="N170" s="108"/>
      <c r="O170" s="82"/>
    </row>
    <row r="171" spans="1:15" x14ac:dyDescent="0.2">
      <c r="A171" s="21"/>
      <c r="B171" s="22"/>
      <c r="C171" s="112" t="str">
        <f t="shared" si="2"/>
        <v>-</v>
      </c>
      <c r="D171" s="14"/>
      <c r="E171" s="219"/>
      <c r="F171" s="219"/>
      <c r="G171" s="219"/>
      <c r="H171" s="219"/>
      <c r="I171" s="184"/>
      <c r="J171" s="219"/>
      <c r="K171" s="219"/>
      <c r="L171" s="219"/>
      <c r="M171" s="219"/>
      <c r="N171" s="108"/>
      <c r="O171" s="82"/>
    </row>
    <row r="172" spans="1:15" x14ac:dyDescent="0.2">
      <c r="A172" s="21"/>
      <c r="B172" s="22"/>
      <c r="C172" s="112" t="str">
        <f t="shared" si="2"/>
        <v>-</v>
      </c>
      <c r="D172" s="14"/>
      <c r="E172" s="219"/>
      <c r="F172" s="219"/>
      <c r="G172" s="219"/>
      <c r="H172" s="219"/>
      <c r="I172" s="184"/>
      <c r="J172" s="219"/>
      <c r="K172" s="219"/>
      <c r="L172" s="219"/>
      <c r="M172" s="219"/>
      <c r="N172" s="108"/>
      <c r="O172" s="82"/>
    </row>
    <row r="173" spans="1:15" x14ac:dyDescent="0.2">
      <c r="A173" s="21"/>
      <c r="B173" s="22"/>
      <c r="C173" s="112" t="str">
        <f t="shared" si="2"/>
        <v>-</v>
      </c>
      <c r="D173" s="14"/>
      <c r="E173" s="219"/>
      <c r="F173" s="219"/>
      <c r="G173" s="219"/>
      <c r="H173" s="219"/>
      <c r="I173" s="184"/>
      <c r="J173" s="219"/>
      <c r="K173" s="219"/>
      <c r="L173" s="219"/>
      <c r="M173" s="219"/>
      <c r="N173" s="108"/>
      <c r="O173" s="82"/>
    </row>
    <row r="174" spans="1:15" x14ac:dyDescent="0.2">
      <c r="A174" s="21"/>
      <c r="B174" s="22"/>
      <c r="C174" s="112" t="str">
        <f t="shared" si="2"/>
        <v>-</v>
      </c>
      <c r="D174" s="14"/>
      <c r="E174" s="219"/>
      <c r="F174" s="219"/>
      <c r="G174" s="219"/>
      <c r="H174" s="219"/>
      <c r="I174" s="184"/>
      <c r="J174" s="219"/>
      <c r="K174" s="219"/>
      <c r="L174" s="219"/>
      <c r="M174" s="219"/>
      <c r="N174" s="108"/>
      <c r="O174" s="82"/>
    </row>
    <row r="175" spans="1:15" x14ac:dyDescent="0.2">
      <c r="A175" s="21"/>
      <c r="B175" s="22"/>
      <c r="C175" s="112" t="str">
        <f t="shared" si="2"/>
        <v>-</v>
      </c>
      <c r="D175" s="14"/>
      <c r="E175" s="219"/>
      <c r="F175" s="219"/>
      <c r="G175" s="219"/>
      <c r="H175" s="219"/>
      <c r="I175" s="184"/>
      <c r="J175" s="219"/>
      <c r="K175" s="219"/>
      <c r="L175" s="219"/>
      <c r="M175" s="219"/>
      <c r="N175" s="108"/>
      <c r="O175" s="82"/>
    </row>
    <row r="176" spans="1:15" x14ac:dyDescent="0.2">
      <c r="A176" s="21"/>
      <c r="B176" s="22"/>
      <c r="C176" s="112" t="str">
        <f t="shared" si="2"/>
        <v>-</v>
      </c>
      <c r="D176" s="14"/>
      <c r="E176" s="219"/>
      <c r="F176" s="219"/>
      <c r="G176" s="219"/>
      <c r="H176" s="219"/>
      <c r="I176" s="184"/>
      <c r="J176" s="219"/>
      <c r="K176" s="219"/>
      <c r="L176" s="219"/>
      <c r="M176" s="219"/>
      <c r="N176" s="108"/>
      <c r="O176" s="82"/>
    </row>
    <row r="177" spans="1:15" x14ac:dyDescent="0.2">
      <c r="A177" s="21"/>
      <c r="B177" s="22"/>
      <c r="C177" s="112" t="str">
        <f t="shared" si="2"/>
        <v>-</v>
      </c>
      <c r="D177" s="14"/>
      <c r="E177" s="219"/>
      <c r="F177" s="219"/>
      <c r="G177" s="219"/>
      <c r="H177" s="219"/>
      <c r="I177" s="184"/>
      <c r="J177" s="219"/>
      <c r="K177" s="219"/>
      <c r="L177" s="219"/>
      <c r="M177" s="219"/>
      <c r="N177" s="108"/>
      <c r="O177" s="82"/>
    </row>
    <row r="178" spans="1:15" x14ac:dyDescent="0.2">
      <c r="A178" s="21"/>
      <c r="B178" s="22"/>
      <c r="C178" s="112" t="str">
        <f t="shared" si="2"/>
        <v>-</v>
      </c>
      <c r="D178" s="14"/>
      <c r="E178" s="219"/>
      <c r="F178" s="219"/>
      <c r="G178" s="219"/>
      <c r="H178" s="219"/>
      <c r="I178" s="184"/>
      <c r="J178" s="219"/>
      <c r="K178" s="219"/>
      <c r="L178" s="219"/>
      <c r="M178" s="219"/>
      <c r="N178" s="108"/>
      <c r="O178" s="82"/>
    </row>
    <row r="179" spans="1:15" x14ac:dyDescent="0.2">
      <c r="A179" s="21"/>
      <c r="B179" s="22"/>
      <c r="C179" s="112" t="str">
        <f t="shared" si="2"/>
        <v>-</v>
      </c>
      <c r="D179" s="14"/>
      <c r="E179" s="219"/>
      <c r="F179" s="219"/>
      <c r="G179" s="219"/>
      <c r="H179" s="219"/>
      <c r="I179" s="184"/>
      <c r="J179" s="219"/>
      <c r="K179" s="219"/>
      <c r="L179" s="219"/>
      <c r="M179" s="219"/>
      <c r="N179" s="108"/>
      <c r="O179" s="82"/>
    </row>
    <row r="180" spans="1:15" x14ac:dyDescent="0.2">
      <c r="A180" s="21"/>
      <c r="B180" s="22"/>
      <c r="C180" s="112" t="str">
        <f t="shared" si="2"/>
        <v>-</v>
      </c>
      <c r="D180" s="14"/>
      <c r="E180" s="219"/>
      <c r="F180" s="219"/>
      <c r="G180" s="219"/>
      <c r="H180" s="219"/>
      <c r="I180" s="184"/>
      <c r="J180" s="219"/>
      <c r="K180" s="219"/>
      <c r="L180" s="219"/>
      <c r="M180" s="219"/>
      <c r="N180" s="108"/>
      <c r="O180" s="82"/>
    </row>
    <row r="181" spans="1:15" x14ac:dyDescent="0.2">
      <c r="A181" s="21"/>
      <c r="B181" s="22"/>
      <c r="C181" s="112" t="str">
        <f t="shared" si="2"/>
        <v>-</v>
      </c>
      <c r="D181" s="14"/>
      <c r="E181" s="219"/>
      <c r="F181" s="219"/>
      <c r="G181" s="219"/>
      <c r="H181" s="219"/>
      <c r="I181" s="184"/>
      <c r="J181" s="219"/>
      <c r="K181" s="219"/>
      <c r="L181" s="219"/>
      <c r="M181" s="219"/>
      <c r="N181" s="108"/>
      <c r="O181" s="82"/>
    </row>
    <row r="182" spans="1:15" x14ac:dyDescent="0.2">
      <c r="A182" s="21"/>
      <c r="B182" s="22"/>
      <c r="C182" s="112" t="str">
        <f t="shared" si="2"/>
        <v>-</v>
      </c>
      <c r="D182" s="14"/>
      <c r="E182" s="219"/>
      <c r="F182" s="219"/>
      <c r="G182" s="219"/>
      <c r="H182" s="219"/>
      <c r="I182" s="184"/>
      <c r="J182" s="219"/>
      <c r="K182" s="219"/>
      <c r="L182" s="219"/>
      <c r="M182" s="219"/>
      <c r="N182" s="108"/>
      <c r="O182" s="82"/>
    </row>
    <row r="183" spans="1:15" x14ac:dyDescent="0.2">
      <c r="A183" s="21"/>
      <c r="B183" s="22"/>
      <c r="C183" s="112" t="str">
        <f t="shared" si="2"/>
        <v>-</v>
      </c>
      <c r="D183" s="14"/>
      <c r="E183" s="219"/>
      <c r="F183" s="219"/>
      <c r="G183" s="219"/>
      <c r="H183" s="219"/>
      <c r="I183" s="184"/>
      <c r="J183" s="219"/>
      <c r="K183" s="219"/>
      <c r="L183" s="219"/>
      <c r="M183" s="219"/>
      <c r="N183" s="108"/>
      <c r="O183" s="82"/>
    </row>
    <row r="184" spans="1:15" x14ac:dyDescent="0.2">
      <c r="A184" s="21"/>
      <c r="B184" s="22"/>
      <c r="C184" s="112" t="str">
        <f t="shared" si="2"/>
        <v>-</v>
      </c>
      <c r="D184" s="14"/>
      <c r="E184" s="219"/>
      <c r="F184" s="219"/>
      <c r="G184" s="219"/>
      <c r="H184" s="219"/>
      <c r="I184" s="184"/>
      <c r="J184" s="219"/>
      <c r="K184" s="219"/>
      <c r="L184" s="219"/>
      <c r="M184" s="219"/>
      <c r="N184" s="108"/>
      <c r="O184" s="82"/>
    </row>
    <row r="185" spans="1:15" x14ac:dyDescent="0.2">
      <c r="A185" s="21"/>
      <c r="B185" s="22"/>
      <c r="C185" s="112" t="str">
        <f t="shared" si="2"/>
        <v>-</v>
      </c>
      <c r="D185" s="14"/>
      <c r="E185" s="219"/>
      <c r="F185" s="219"/>
      <c r="G185" s="219"/>
      <c r="H185" s="219"/>
      <c r="I185" s="184"/>
      <c r="J185" s="219"/>
      <c r="K185" s="219"/>
      <c r="L185" s="219"/>
      <c r="M185" s="219"/>
      <c r="N185" s="108"/>
      <c r="O185" s="82"/>
    </row>
    <row r="186" spans="1:15" x14ac:dyDescent="0.2">
      <c r="A186" s="21"/>
      <c r="B186" s="22"/>
      <c r="C186" s="112" t="str">
        <f t="shared" si="2"/>
        <v>-</v>
      </c>
      <c r="D186" s="14"/>
      <c r="E186" s="219"/>
      <c r="F186" s="219"/>
      <c r="G186" s="219"/>
      <c r="H186" s="219"/>
      <c r="I186" s="184"/>
      <c r="J186" s="219"/>
      <c r="K186" s="219"/>
      <c r="L186" s="219"/>
      <c r="M186" s="219"/>
      <c r="N186" s="108"/>
      <c r="O186" s="82"/>
    </row>
    <row r="187" spans="1:15" x14ac:dyDescent="0.2">
      <c r="A187" s="21"/>
      <c r="B187" s="22"/>
      <c r="C187" s="112" t="str">
        <f t="shared" si="2"/>
        <v>-</v>
      </c>
      <c r="D187" s="14"/>
      <c r="E187" s="219"/>
      <c r="F187" s="219"/>
      <c r="G187" s="219"/>
      <c r="H187" s="219"/>
      <c r="I187" s="184"/>
      <c r="J187" s="219"/>
      <c r="K187" s="219"/>
      <c r="L187" s="219"/>
      <c r="M187" s="219"/>
      <c r="N187" s="108"/>
      <c r="O187" s="82"/>
    </row>
    <row r="188" spans="1:15" x14ac:dyDescent="0.2">
      <c r="A188" s="21"/>
      <c r="B188" s="22"/>
      <c r="C188" s="112" t="str">
        <f t="shared" si="2"/>
        <v>-</v>
      </c>
      <c r="D188" s="14"/>
      <c r="E188" s="219"/>
      <c r="F188" s="219"/>
      <c r="G188" s="219"/>
      <c r="H188" s="219"/>
      <c r="I188" s="184"/>
      <c r="J188" s="219"/>
      <c r="K188" s="219"/>
      <c r="L188" s="219"/>
      <c r="M188" s="219"/>
      <c r="N188" s="108"/>
      <c r="O188" s="82"/>
    </row>
    <row r="189" spans="1:15" x14ac:dyDescent="0.2">
      <c r="A189" s="21"/>
      <c r="B189" s="22"/>
      <c r="C189" s="112" t="str">
        <f t="shared" si="2"/>
        <v>-</v>
      </c>
      <c r="D189" s="14"/>
      <c r="E189" s="219"/>
      <c r="F189" s="219"/>
      <c r="G189" s="219"/>
      <c r="H189" s="219"/>
      <c r="I189" s="184"/>
      <c r="J189" s="219"/>
      <c r="K189" s="219"/>
      <c r="L189" s="219"/>
      <c r="M189" s="219"/>
      <c r="N189" s="108"/>
      <c r="O189" s="82"/>
    </row>
    <row r="190" spans="1:15" x14ac:dyDescent="0.2">
      <c r="A190" s="21"/>
      <c r="B190" s="22"/>
      <c r="C190" s="112" t="str">
        <f t="shared" si="2"/>
        <v>-</v>
      </c>
      <c r="D190" s="14"/>
      <c r="E190" s="219"/>
      <c r="F190" s="219"/>
      <c r="G190" s="219"/>
      <c r="H190" s="219"/>
      <c r="I190" s="184"/>
      <c r="J190" s="219"/>
      <c r="K190" s="219"/>
      <c r="L190" s="219"/>
      <c r="M190" s="219"/>
      <c r="N190" s="108"/>
      <c r="O190" s="82"/>
    </row>
    <row r="191" spans="1:15" x14ac:dyDescent="0.2">
      <c r="A191" s="21"/>
      <c r="B191" s="22"/>
      <c r="C191" s="112" t="str">
        <f t="shared" si="2"/>
        <v>-</v>
      </c>
      <c r="D191" s="14"/>
      <c r="E191" s="219"/>
      <c r="F191" s="219"/>
      <c r="G191" s="219"/>
      <c r="H191" s="219"/>
      <c r="I191" s="184"/>
      <c r="J191" s="219"/>
      <c r="K191" s="219"/>
      <c r="L191" s="219"/>
      <c r="M191" s="219"/>
      <c r="N191" s="108"/>
      <c r="O191" s="82"/>
    </row>
    <row r="192" spans="1:15" x14ac:dyDescent="0.2">
      <c r="A192" s="21"/>
      <c r="B192" s="22"/>
      <c r="C192" s="112" t="str">
        <f t="shared" si="2"/>
        <v>-</v>
      </c>
      <c r="D192" s="14"/>
      <c r="E192" s="219"/>
      <c r="F192" s="219"/>
      <c r="G192" s="219"/>
      <c r="H192" s="219"/>
      <c r="I192" s="184"/>
      <c r="J192" s="219"/>
      <c r="K192" s="219"/>
      <c r="L192" s="219"/>
      <c r="M192" s="219"/>
      <c r="N192" s="108"/>
      <c r="O192" s="82"/>
    </row>
    <row r="193" spans="1:15" x14ac:dyDescent="0.2">
      <c r="A193" s="21"/>
      <c r="B193" s="22"/>
      <c r="C193" s="112" t="str">
        <f t="shared" si="2"/>
        <v>-</v>
      </c>
      <c r="D193" s="14"/>
      <c r="E193" s="219"/>
      <c r="F193" s="219"/>
      <c r="G193" s="219"/>
      <c r="H193" s="219"/>
      <c r="I193" s="184"/>
      <c r="J193" s="219"/>
      <c r="K193" s="219"/>
      <c r="L193" s="219"/>
      <c r="M193" s="219"/>
      <c r="N193" s="108"/>
      <c r="O193" s="82"/>
    </row>
    <row r="194" spans="1:15" x14ac:dyDescent="0.2">
      <c r="A194" s="21"/>
      <c r="B194" s="22"/>
      <c r="C194" s="112" t="str">
        <f t="shared" si="2"/>
        <v>-</v>
      </c>
      <c r="D194" s="14"/>
      <c r="E194" s="219"/>
      <c r="F194" s="219"/>
      <c r="G194" s="219"/>
      <c r="H194" s="219"/>
      <c r="I194" s="184"/>
      <c r="J194" s="219"/>
      <c r="K194" s="219"/>
      <c r="L194" s="219"/>
      <c r="M194" s="219"/>
      <c r="N194" s="108"/>
      <c r="O194" s="82"/>
    </row>
    <row r="195" spans="1:15" x14ac:dyDescent="0.2">
      <c r="A195" s="21"/>
      <c r="B195" s="22"/>
      <c r="C195" s="112" t="str">
        <f t="shared" si="2"/>
        <v>-</v>
      </c>
      <c r="D195" s="14"/>
      <c r="E195" s="219"/>
      <c r="F195" s="219"/>
      <c r="G195" s="219"/>
      <c r="H195" s="219"/>
      <c r="I195" s="184"/>
      <c r="J195" s="219"/>
      <c r="K195" s="219"/>
      <c r="L195" s="219"/>
      <c r="M195" s="219"/>
      <c r="N195" s="108"/>
      <c r="O195" s="82"/>
    </row>
    <row r="196" spans="1:15" x14ac:dyDescent="0.2">
      <c r="A196" s="21"/>
      <c r="B196" s="22"/>
      <c r="C196" s="112" t="str">
        <f t="shared" si="2"/>
        <v>-</v>
      </c>
      <c r="D196" s="14"/>
      <c r="E196" s="219"/>
      <c r="F196" s="219"/>
      <c r="G196" s="219"/>
      <c r="H196" s="219"/>
      <c r="I196" s="184"/>
      <c r="J196" s="219"/>
      <c r="K196" s="219"/>
      <c r="L196" s="219"/>
      <c r="M196" s="219"/>
      <c r="N196" s="108"/>
      <c r="O196" s="82"/>
    </row>
    <row r="197" spans="1:15" x14ac:dyDescent="0.2">
      <c r="A197" s="21"/>
      <c r="B197" s="22"/>
      <c r="C197" s="112" t="str">
        <f t="shared" si="2"/>
        <v>-</v>
      </c>
      <c r="D197" s="14"/>
      <c r="E197" s="219"/>
      <c r="F197" s="219"/>
      <c r="G197" s="219"/>
      <c r="H197" s="219"/>
      <c r="I197" s="184"/>
      <c r="J197" s="219"/>
      <c r="K197" s="219"/>
      <c r="L197" s="219"/>
      <c r="M197" s="219"/>
      <c r="N197" s="108"/>
      <c r="O197" s="82"/>
    </row>
    <row r="198" spans="1:15" x14ac:dyDescent="0.2">
      <c r="A198" s="21"/>
      <c r="B198" s="22"/>
      <c r="C198" s="112" t="str">
        <f t="shared" si="2"/>
        <v>-</v>
      </c>
      <c r="D198" s="14"/>
      <c r="E198" s="219"/>
      <c r="F198" s="219"/>
      <c r="G198" s="219"/>
      <c r="H198" s="219"/>
      <c r="I198" s="184"/>
      <c r="J198" s="219"/>
      <c r="K198" s="219"/>
      <c r="L198" s="219"/>
      <c r="M198" s="219"/>
      <c r="N198" s="108"/>
      <c r="O198" s="82"/>
    </row>
    <row r="199" spans="1:15" x14ac:dyDescent="0.2">
      <c r="A199" s="21"/>
      <c r="B199" s="22"/>
      <c r="C199" s="112" t="str">
        <f t="shared" si="2"/>
        <v>-</v>
      </c>
      <c r="D199" s="14"/>
      <c r="E199" s="219"/>
      <c r="F199" s="219"/>
      <c r="G199" s="219"/>
      <c r="H199" s="219"/>
      <c r="I199" s="184"/>
      <c r="J199" s="219"/>
      <c r="K199" s="219"/>
      <c r="L199" s="219"/>
      <c r="M199" s="219"/>
      <c r="N199" s="108"/>
      <c r="O199" s="82"/>
    </row>
    <row r="200" spans="1:15" x14ac:dyDescent="0.2">
      <c r="A200" s="21"/>
      <c r="B200" s="22"/>
      <c r="C200" s="112" t="str">
        <f t="shared" si="2"/>
        <v>-</v>
      </c>
      <c r="D200" s="14"/>
      <c r="E200" s="219"/>
      <c r="F200" s="219"/>
      <c r="G200" s="219"/>
      <c r="H200" s="219"/>
      <c r="I200" s="184"/>
      <c r="J200" s="219"/>
      <c r="K200" s="219"/>
      <c r="L200" s="219"/>
      <c r="M200" s="219"/>
      <c r="N200" s="108"/>
      <c r="O200" s="82"/>
    </row>
    <row r="201" spans="1:15" x14ac:dyDescent="0.2">
      <c r="A201" s="21"/>
      <c r="B201" s="22"/>
      <c r="C201" s="112" t="str">
        <f t="shared" ref="C201:C257" si="3">IF(ISBLANK(B201),"-",B201*3600)</f>
        <v>-</v>
      </c>
      <c r="D201" s="14"/>
      <c r="E201" s="219"/>
      <c r="F201" s="219"/>
      <c r="G201" s="219"/>
      <c r="H201" s="219"/>
      <c r="I201" s="184"/>
      <c r="J201" s="219"/>
      <c r="K201" s="219"/>
      <c r="L201" s="219"/>
      <c r="M201" s="219"/>
      <c r="N201" s="108"/>
      <c r="O201" s="82"/>
    </row>
    <row r="202" spans="1:15" x14ac:dyDescent="0.2">
      <c r="A202" s="21"/>
      <c r="B202" s="22"/>
      <c r="C202" s="112" t="str">
        <f t="shared" si="3"/>
        <v>-</v>
      </c>
      <c r="D202" s="14"/>
      <c r="E202" s="219"/>
      <c r="F202" s="219"/>
      <c r="G202" s="219"/>
      <c r="H202" s="219"/>
      <c r="I202" s="184"/>
      <c r="J202" s="219"/>
      <c r="K202" s="219"/>
      <c r="L202" s="219"/>
      <c r="M202" s="219"/>
      <c r="N202" s="108"/>
      <c r="O202" s="82"/>
    </row>
    <row r="203" spans="1:15" x14ac:dyDescent="0.2">
      <c r="A203" s="21"/>
      <c r="B203" s="22"/>
      <c r="C203" s="112" t="str">
        <f t="shared" ref="C203:C224" si="4">IF(ISBLANK(B203),"-",B203*3600)</f>
        <v>-</v>
      </c>
      <c r="D203" s="14"/>
      <c r="E203" s="219"/>
      <c r="F203" s="219"/>
      <c r="G203" s="219"/>
      <c r="H203" s="219"/>
      <c r="I203" s="184"/>
      <c r="J203" s="219"/>
      <c r="K203" s="219"/>
      <c r="L203" s="219"/>
      <c r="M203" s="219"/>
      <c r="N203" s="108"/>
      <c r="O203" s="82"/>
    </row>
    <row r="204" spans="1:15" x14ac:dyDescent="0.2">
      <c r="A204" s="21"/>
      <c r="B204" s="22"/>
      <c r="C204" s="112" t="str">
        <f t="shared" si="4"/>
        <v>-</v>
      </c>
      <c r="D204" s="14"/>
      <c r="E204" s="219"/>
      <c r="F204" s="219"/>
      <c r="G204" s="219"/>
      <c r="H204" s="219"/>
      <c r="I204" s="184"/>
      <c r="J204" s="219"/>
      <c r="K204" s="219"/>
      <c r="L204" s="219"/>
      <c r="M204" s="219"/>
      <c r="N204" s="108"/>
      <c r="O204" s="82"/>
    </row>
    <row r="205" spans="1:15" x14ac:dyDescent="0.2">
      <c r="A205" s="21"/>
      <c r="B205" s="22"/>
      <c r="C205" s="112" t="str">
        <f t="shared" si="4"/>
        <v>-</v>
      </c>
      <c r="D205" s="14"/>
      <c r="E205" s="219"/>
      <c r="F205" s="219"/>
      <c r="G205" s="219"/>
      <c r="H205" s="219"/>
      <c r="I205" s="184"/>
      <c r="J205" s="219"/>
      <c r="K205" s="219"/>
      <c r="L205" s="219"/>
      <c r="M205" s="219"/>
      <c r="N205" s="108"/>
      <c r="O205" s="82"/>
    </row>
    <row r="206" spans="1:15" x14ac:dyDescent="0.2">
      <c r="A206" s="21"/>
      <c r="B206" s="22"/>
      <c r="C206" s="112" t="str">
        <f t="shared" si="4"/>
        <v>-</v>
      </c>
      <c r="D206" s="14"/>
      <c r="E206" s="219"/>
      <c r="F206" s="219"/>
      <c r="G206" s="219"/>
      <c r="H206" s="219"/>
      <c r="I206" s="184"/>
      <c r="J206" s="219"/>
      <c r="K206" s="219"/>
      <c r="L206" s="219"/>
      <c r="M206" s="219"/>
      <c r="N206" s="108"/>
      <c r="O206" s="82"/>
    </row>
    <row r="207" spans="1:15" x14ac:dyDescent="0.2">
      <c r="A207" s="21"/>
      <c r="B207" s="22"/>
      <c r="C207" s="112" t="str">
        <f t="shared" si="4"/>
        <v>-</v>
      </c>
      <c r="D207" s="14"/>
      <c r="E207" s="219"/>
      <c r="F207" s="219"/>
      <c r="G207" s="219"/>
      <c r="H207" s="219"/>
      <c r="I207" s="184"/>
      <c r="J207" s="219"/>
      <c r="K207" s="219"/>
      <c r="L207" s="219"/>
      <c r="M207" s="219"/>
      <c r="N207" s="108"/>
      <c r="O207" s="82"/>
    </row>
    <row r="208" spans="1:15" x14ac:dyDescent="0.2">
      <c r="A208" s="21"/>
      <c r="B208" s="22"/>
      <c r="C208" s="112" t="str">
        <f t="shared" si="4"/>
        <v>-</v>
      </c>
      <c r="D208" s="14"/>
      <c r="E208" s="219"/>
      <c r="F208" s="219"/>
      <c r="G208" s="219"/>
      <c r="H208" s="219"/>
      <c r="I208" s="184"/>
      <c r="J208" s="219"/>
      <c r="K208" s="219"/>
      <c r="L208" s="219"/>
      <c r="M208" s="219"/>
      <c r="N208" s="108"/>
      <c r="O208" s="82"/>
    </row>
    <row r="209" spans="1:15" x14ac:dyDescent="0.2">
      <c r="A209" s="21"/>
      <c r="B209" s="22"/>
      <c r="C209" s="112" t="str">
        <f t="shared" si="4"/>
        <v>-</v>
      </c>
      <c r="D209" s="14"/>
      <c r="E209" s="219"/>
      <c r="F209" s="219"/>
      <c r="G209" s="219"/>
      <c r="H209" s="219"/>
      <c r="I209" s="184"/>
      <c r="J209" s="219"/>
      <c r="K209" s="219"/>
      <c r="L209" s="219"/>
      <c r="M209" s="219"/>
      <c r="N209" s="108"/>
      <c r="O209" s="82"/>
    </row>
    <row r="210" spans="1:15" x14ac:dyDescent="0.2">
      <c r="A210" s="21"/>
      <c r="B210" s="22"/>
      <c r="C210" s="112" t="str">
        <f t="shared" si="4"/>
        <v>-</v>
      </c>
      <c r="D210" s="14"/>
      <c r="E210" s="219"/>
      <c r="F210" s="219"/>
      <c r="G210" s="219"/>
      <c r="H210" s="219"/>
      <c r="I210" s="184"/>
      <c r="J210" s="219"/>
      <c r="K210" s="219"/>
      <c r="L210" s="219"/>
      <c r="M210" s="219"/>
      <c r="N210" s="108"/>
      <c r="O210" s="82"/>
    </row>
    <row r="211" spans="1:15" x14ac:dyDescent="0.2">
      <c r="A211" s="21"/>
      <c r="B211" s="22"/>
      <c r="C211" s="112" t="str">
        <f t="shared" si="4"/>
        <v>-</v>
      </c>
      <c r="D211" s="14"/>
      <c r="E211" s="219"/>
      <c r="F211" s="219"/>
      <c r="G211" s="219"/>
      <c r="H211" s="219"/>
      <c r="I211" s="184"/>
      <c r="J211" s="219"/>
      <c r="K211" s="219"/>
      <c r="L211" s="219"/>
      <c r="M211" s="219"/>
      <c r="N211" s="108"/>
      <c r="O211" s="82"/>
    </row>
    <row r="212" spans="1:15" x14ac:dyDescent="0.2">
      <c r="A212" s="21"/>
      <c r="B212" s="22"/>
      <c r="C212" s="112" t="str">
        <f t="shared" si="4"/>
        <v>-</v>
      </c>
      <c r="D212" s="14"/>
      <c r="E212" s="219"/>
      <c r="F212" s="219"/>
      <c r="G212" s="219"/>
      <c r="H212" s="219"/>
      <c r="I212" s="184"/>
      <c r="J212" s="219"/>
      <c r="K212" s="219"/>
      <c r="L212" s="219"/>
      <c r="M212" s="219"/>
      <c r="N212" s="108"/>
      <c r="O212" s="82"/>
    </row>
    <row r="213" spans="1:15" x14ac:dyDescent="0.2">
      <c r="A213" s="21"/>
      <c r="B213" s="22"/>
      <c r="C213" s="112" t="str">
        <f t="shared" si="4"/>
        <v>-</v>
      </c>
      <c r="D213" s="14"/>
      <c r="E213" s="219"/>
      <c r="F213" s="219"/>
      <c r="G213" s="219"/>
      <c r="H213" s="219"/>
      <c r="I213" s="184"/>
      <c r="J213" s="219"/>
      <c r="K213" s="219"/>
      <c r="L213" s="219"/>
      <c r="M213" s="219"/>
      <c r="N213" s="108"/>
      <c r="O213" s="82"/>
    </row>
    <row r="214" spans="1:15" x14ac:dyDescent="0.2">
      <c r="A214" s="21"/>
      <c r="B214" s="22"/>
      <c r="C214" s="112" t="str">
        <f t="shared" si="4"/>
        <v>-</v>
      </c>
      <c r="D214" s="14"/>
      <c r="E214" s="219"/>
      <c r="F214" s="219"/>
      <c r="G214" s="219"/>
      <c r="H214" s="219"/>
      <c r="I214" s="184"/>
      <c r="J214" s="219"/>
      <c r="K214" s="219"/>
      <c r="L214" s="219"/>
      <c r="M214" s="219"/>
      <c r="N214" s="108"/>
      <c r="O214" s="82"/>
    </row>
    <row r="215" spans="1:15" x14ac:dyDescent="0.2">
      <c r="A215" s="21"/>
      <c r="B215" s="22"/>
      <c r="C215" s="112" t="str">
        <f t="shared" si="4"/>
        <v>-</v>
      </c>
      <c r="D215" s="14"/>
      <c r="E215" s="219"/>
      <c r="F215" s="219"/>
      <c r="G215" s="219"/>
      <c r="H215" s="219"/>
      <c r="I215" s="184"/>
      <c r="J215" s="219"/>
      <c r="K215" s="219"/>
      <c r="L215" s="219"/>
      <c r="M215" s="219"/>
      <c r="N215" s="108"/>
      <c r="O215" s="82"/>
    </row>
    <row r="216" spans="1:15" x14ac:dyDescent="0.2">
      <c r="A216" s="21"/>
      <c r="B216" s="22"/>
      <c r="C216" s="112" t="str">
        <f t="shared" si="4"/>
        <v>-</v>
      </c>
      <c r="D216" s="14"/>
      <c r="E216" s="219"/>
      <c r="F216" s="219"/>
      <c r="G216" s="219"/>
      <c r="H216" s="219"/>
      <c r="I216" s="184"/>
      <c r="J216" s="219"/>
      <c r="K216" s="219"/>
      <c r="L216" s="219"/>
      <c r="M216" s="219"/>
      <c r="N216" s="108"/>
      <c r="O216" s="82"/>
    </row>
    <row r="217" spans="1:15" x14ac:dyDescent="0.2">
      <c r="A217" s="21"/>
      <c r="B217" s="22"/>
      <c r="C217" s="112" t="str">
        <f t="shared" si="4"/>
        <v>-</v>
      </c>
      <c r="D217" s="14"/>
      <c r="E217" s="219"/>
      <c r="F217" s="219"/>
      <c r="G217" s="219"/>
      <c r="H217" s="219"/>
      <c r="I217" s="184"/>
      <c r="J217" s="219"/>
      <c r="K217" s="219"/>
      <c r="L217" s="219"/>
      <c r="M217" s="219"/>
      <c r="N217" s="108"/>
      <c r="O217" s="82"/>
    </row>
    <row r="218" spans="1:15" x14ac:dyDescent="0.2">
      <c r="A218" s="21"/>
      <c r="B218" s="22"/>
      <c r="C218" s="112" t="str">
        <f t="shared" si="4"/>
        <v>-</v>
      </c>
      <c r="D218" s="14"/>
      <c r="E218" s="219"/>
      <c r="F218" s="219"/>
      <c r="G218" s="219"/>
      <c r="H218" s="219"/>
      <c r="I218" s="184"/>
      <c r="J218" s="219"/>
      <c r="K218" s="219"/>
      <c r="L218" s="219"/>
      <c r="M218" s="219"/>
      <c r="N218" s="108"/>
      <c r="O218" s="82"/>
    </row>
    <row r="219" spans="1:15" x14ac:dyDescent="0.2">
      <c r="A219" s="21"/>
      <c r="B219" s="22"/>
      <c r="C219" s="112" t="str">
        <f t="shared" si="4"/>
        <v>-</v>
      </c>
      <c r="D219" s="14"/>
      <c r="E219" s="219"/>
      <c r="F219" s="219"/>
      <c r="G219" s="219"/>
      <c r="H219" s="219"/>
      <c r="I219" s="184"/>
      <c r="J219" s="219"/>
      <c r="K219" s="219"/>
      <c r="L219" s="219"/>
      <c r="M219" s="219"/>
      <c r="N219" s="108"/>
      <c r="O219" s="82"/>
    </row>
    <row r="220" spans="1:15" x14ac:dyDescent="0.2">
      <c r="A220" s="21"/>
      <c r="B220" s="22"/>
      <c r="C220" s="112" t="str">
        <f t="shared" si="4"/>
        <v>-</v>
      </c>
      <c r="D220" s="14"/>
      <c r="E220" s="219"/>
      <c r="F220" s="219"/>
      <c r="G220" s="219"/>
      <c r="H220" s="219"/>
      <c r="I220" s="184"/>
      <c r="J220" s="219"/>
      <c r="K220" s="219"/>
      <c r="L220" s="219"/>
      <c r="M220" s="219"/>
      <c r="N220" s="108"/>
      <c r="O220" s="82"/>
    </row>
    <row r="221" spans="1:15" x14ac:dyDescent="0.2">
      <c r="A221" s="21"/>
      <c r="B221" s="22"/>
      <c r="C221" s="112" t="str">
        <f t="shared" si="4"/>
        <v>-</v>
      </c>
      <c r="D221" s="14"/>
      <c r="E221" s="219"/>
      <c r="F221" s="219"/>
      <c r="G221" s="219"/>
      <c r="H221" s="219"/>
      <c r="I221" s="184"/>
      <c r="J221" s="219"/>
      <c r="K221" s="219"/>
      <c r="L221" s="219"/>
      <c r="M221" s="219"/>
      <c r="N221" s="108"/>
      <c r="O221" s="82"/>
    </row>
    <row r="222" spans="1:15" x14ac:dyDescent="0.2">
      <c r="A222" s="21"/>
      <c r="B222" s="22"/>
      <c r="C222" s="112" t="str">
        <f t="shared" si="4"/>
        <v>-</v>
      </c>
      <c r="D222" s="14"/>
      <c r="E222" s="219"/>
      <c r="F222" s="219"/>
      <c r="G222" s="219"/>
      <c r="H222" s="219"/>
      <c r="I222" s="184"/>
      <c r="J222" s="219"/>
      <c r="K222" s="219"/>
      <c r="L222" s="219"/>
      <c r="M222" s="219"/>
      <c r="N222" s="108"/>
      <c r="O222" s="82"/>
    </row>
    <row r="223" spans="1:15" x14ac:dyDescent="0.2">
      <c r="A223" s="21"/>
      <c r="B223" s="22"/>
      <c r="C223" s="112" t="str">
        <f t="shared" si="4"/>
        <v>-</v>
      </c>
      <c r="D223" s="14"/>
      <c r="E223" s="219"/>
      <c r="F223" s="219"/>
      <c r="G223" s="219"/>
      <c r="H223" s="219"/>
      <c r="I223" s="184"/>
      <c r="J223" s="219"/>
      <c r="K223" s="219"/>
      <c r="L223" s="219"/>
      <c r="M223" s="219"/>
      <c r="N223" s="108"/>
      <c r="O223" s="82"/>
    </row>
    <row r="224" spans="1:15" x14ac:dyDescent="0.2">
      <c r="A224" s="21"/>
      <c r="B224" s="22"/>
      <c r="C224" s="112" t="str">
        <f t="shared" si="4"/>
        <v>-</v>
      </c>
      <c r="D224" s="14"/>
      <c r="E224" s="219"/>
      <c r="F224" s="219"/>
      <c r="G224" s="219"/>
      <c r="H224" s="219"/>
      <c r="I224" s="184"/>
      <c r="J224" s="219"/>
      <c r="K224" s="219"/>
      <c r="L224" s="219"/>
      <c r="M224" s="219"/>
      <c r="N224" s="108"/>
      <c r="O224" s="82"/>
    </row>
    <row r="225" spans="1:15" x14ac:dyDescent="0.2">
      <c r="A225" s="21"/>
      <c r="B225" s="22"/>
      <c r="C225" s="112" t="str">
        <f t="shared" si="3"/>
        <v>-</v>
      </c>
      <c r="D225" s="14"/>
      <c r="E225" s="219"/>
      <c r="F225" s="219"/>
      <c r="G225" s="219"/>
      <c r="H225" s="219"/>
      <c r="I225" s="184"/>
      <c r="J225" s="219"/>
      <c r="K225" s="219"/>
      <c r="L225" s="219"/>
      <c r="M225" s="219"/>
      <c r="N225" s="108"/>
      <c r="O225" s="82"/>
    </row>
    <row r="226" spans="1:15" x14ac:dyDescent="0.2">
      <c r="A226" s="21"/>
      <c r="B226" s="22"/>
      <c r="C226" s="112" t="str">
        <f t="shared" si="3"/>
        <v>-</v>
      </c>
      <c r="D226" s="14"/>
      <c r="E226" s="219"/>
      <c r="F226" s="219"/>
      <c r="G226" s="219"/>
      <c r="H226" s="219"/>
      <c r="I226" s="184"/>
      <c r="J226" s="219"/>
      <c r="K226" s="219"/>
      <c r="L226" s="219"/>
      <c r="M226" s="219"/>
      <c r="N226" s="108"/>
      <c r="O226" s="82"/>
    </row>
    <row r="227" spans="1:15" x14ac:dyDescent="0.2">
      <c r="A227" s="21"/>
      <c r="B227" s="22"/>
      <c r="C227" s="112" t="str">
        <f t="shared" si="3"/>
        <v>-</v>
      </c>
      <c r="D227" s="14"/>
      <c r="E227" s="219"/>
      <c r="F227" s="219"/>
      <c r="G227" s="219"/>
      <c r="H227" s="219"/>
      <c r="I227" s="184"/>
      <c r="J227" s="219"/>
      <c r="K227" s="219"/>
      <c r="L227" s="219"/>
      <c r="M227" s="219"/>
      <c r="N227" s="108"/>
      <c r="O227" s="82"/>
    </row>
    <row r="228" spans="1:15" x14ac:dyDescent="0.2">
      <c r="A228" s="21"/>
      <c r="B228" s="22"/>
      <c r="C228" s="112" t="str">
        <f t="shared" si="3"/>
        <v>-</v>
      </c>
      <c r="D228" s="14"/>
      <c r="E228" s="219"/>
      <c r="F228" s="219"/>
      <c r="G228" s="219"/>
      <c r="H228" s="219"/>
      <c r="I228" s="184"/>
      <c r="J228" s="219"/>
      <c r="K228" s="219"/>
      <c r="L228" s="219"/>
      <c r="M228" s="219"/>
      <c r="N228" s="108"/>
      <c r="O228" s="82"/>
    </row>
    <row r="229" spans="1:15" x14ac:dyDescent="0.2">
      <c r="A229" s="21"/>
      <c r="B229" s="22"/>
      <c r="C229" s="112" t="str">
        <f t="shared" si="3"/>
        <v>-</v>
      </c>
      <c r="D229" s="14"/>
      <c r="E229" s="219"/>
      <c r="F229" s="219"/>
      <c r="G229" s="219"/>
      <c r="H229" s="219"/>
      <c r="I229" s="184"/>
      <c r="J229" s="219"/>
      <c r="K229" s="219"/>
      <c r="L229" s="219"/>
      <c r="M229" s="219"/>
      <c r="N229" s="108"/>
      <c r="O229" s="82"/>
    </row>
    <row r="230" spans="1:15" x14ac:dyDescent="0.2">
      <c r="A230" s="21"/>
      <c r="B230" s="22"/>
      <c r="C230" s="112" t="str">
        <f t="shared" si="3"/>
        <v>-</v>
      </c>
      <c r="D230" s="14"/>
      <c r="E230" s="219"/>
      <c r="F230" s="219"/>
      <c r="G230" s="219"/>
      <c r="H230" s="219"/>
      <c r="I230" s="184"/>
      <c r="J230" s="219"/>
      <c r="K230" s="219"/>
      <c r="L230" s="219"/>
      <c r="M230" s="219"/>
      <c r="N230" s="108"/>
      <c r="O230" s="82"/>
    </row>
    <row r="231" spans="1:15" x14ac:dyDescent="0.2">
      <c r="A231" s="21"/>
      <c r="B231" s="22"/>
      <c r="C231" s="112" t="str">
        <f t="shared" si="3"/>
        <v>-</v>
      </c>
      <c r="D231" s="14"/>
      <c r="E231" s="219"/>
      <c r="F231" s="219"/>
      <c r="G231" s="219"/>
      <c r="H231" s="219"/>
      <c r="I231" s="184"/>
      <c r="J231" s="219"/>
      <c r="K231" s="219"/>
      <c r="L231" s="219"/>
      <c r="M231" s="219"/>
      <c r="N231" s="108"/>
      <c r="O231" s="82"/>
    </row>
    <row r="232" spans="1:15" x14ac:dyDescent="0.2">
      <c r="A232" s="21"/>
      <c r="B232" s="22"/>
      <c r="C232" s="112" t="str">
        <f t="shared" si="3"/>
        <v>-</v>
      </c>
      <c r="D232" s="14"/>
      <c r="E232" s="219"/>
      <c r="F232" s="219"/>
      <c r="G232" s="219"/>
      <c r="H232" s="219"/>
      <c r="I232" s="184"/>
      <c r="J232" s="219"/>
      <c r="K232" s="219"/>
      <c r="L232" s="219"/>
      <c r="M232" s="219"/>
      <c r="N232" s="108"/>
      <c r="O232" s="82"/>
    </row>
    <row r="233" spans="1:15" x14ac:dyDescent="0.2">
      <c r="A233" s="21"/>
      <c r="B233" s="22"/>
      <c r="C233" s="112" t="str">
        <f t="shared" si="3"/>
        <v>-</v>
      </c>
      <c r="D233" s="14"/>
      <c r="E233" s="219"/>
      <c r="F233" s="219"/>
      <c r="G233" s="219"/>
      <c r="H233" s="219"/>
      <c r="I233" s="184"/>
      <c r="J233" s="219"/>
      <c r="K233" s="219"/>
      <c r="L233" s="219"/>
      <c r="M233" s="219"/>
      <c r="N233" s="108"/>
      <c r="O233" s="82"/>
    </row>
    <row r="234" spans="1:15" x14ac:dyDescent="0.2">
      <c r="A234" s="21"/>
      <c r="B234" s="22"/>
      <c r="C234" s="112" t="str">
        <f t="shared" si="3"/>
        <v>-</v>
      </c>
      <c r="D234" s="14"/>
      <c r="E234" s="219"/>
      <c r="F234" s="219"/>
      <c r="G234" s="219"/>
      <c r="H234" s="219"/>
      <c r="I234" s="184"/>
      <c r="J234" s="219"/>
      <c r="K234" s="219"/>
      <c r="L234" s="219"/>
      <c r="M234" s="219"/>
      <c r="N234" s="108"/>
      <c r="O234" s="82"/>
    </row>
    <row r="235" spans="1:15" x14ac:dyDescent="0.2">
      <c r="A235" s="21"/>
      <c r="B235" s="22"/>
      <c r="C235" s="112" t="str">
        <f t="shared" si="3"/>
        <v>-</v>
      </c>
      <c r="D235" s="14"/>
      <c r="E235" s="219"/>
      <c r="F235" s="219"/>
      <c r="G235" s="219"/>
      <c r="H235" s="219"/>
      <c r="I235" s="184"/>
      <c r="J235" s="219"/>
      <c r="K235" s="219"/>
      <c r="L235" s="219"/>
      <c r="M235" s="219"/>
      <c r="N235" s="108"/>
      <c r="O235" s="82"/>
    </row>
    <row r="236" spans="1:15" x14ac:dyDescent="0.2">
      <c r="A236" s="21"/>
      <c r="B236" s="22"/>
      <c r="C236" s="112" t="str">
        <f t="shared" si="3"/>
        <v>-</v>
      </c>
      <c r="D236" s="14"/>
      <c r="E236" s="219"/>
      <c r="F236" s="219"/>
      <c r="G236" s="219"/>
      <c r="H236" s="219"/>
      <c r="I236" s="184"/>
      <c r="J236" s="219"/>
      <c r="K236" s="219"/>
      <c r="L236" s="219"/>
      <c r="M236" s="219"/>
      <c r="N236" s="108"/>
      <c r="O236" s="82"/>
    </row>
    <row r="237" spans="1:15" x14ac:dyDescent="0.2">
      <c r="A237" s="21"/>
      <c r="B237" s="22"/>
      <c r="C237" s="112" t="str">
        <f t="shared" si="3"/>
        <v>-</v>
      </c>
      <c r="D237" s="14"/>
      <c r="E237" s="219"/>
      <c r="F237" s="219"/>
      <c r="G237" s="219"/>
      <c r="H237" s="219"/>
      <c r="I237" s="184"/>
      <c r="J237" s="219"/>
      <c r="K237" s="219"/>
      <c r="L237" s="219"/>
      <c r="M237" s="219"/>
      <c r="N237" s="108"/>
      <c r="O237" s="82"/>
    </row>
    <row r="238" spans="1:15" x14ac:dyDescent="0.2">
      <c r="A238" s="21"/>
      <c r="B238" s="22"/>
      <c r="C238" s="112" t="str">
        <f t="shared" si="3"/>
        <v>-</v>
      </c>
      <c r="D238" s="14"/>
      <c r="E238" s="219"/>
      <c r="F238" s="219"/>
      <c r="G238" s="219"/>
      <c r="H238" s="219"/>
      <c r="I238" s="184"/>
      <c r="J238" s="219"/>
      <c r="K238" s="219"/>
      <c r="L238" s="219"/>
      <c r="M238" s="219"/>
      <c r="N238" s="108"/>
      <c r="O238" s="82"/>
    </row>
    <row r="239" spans="1:15" x14ac:dyDescent="0.2">
      <c r="A239" s="21"/>
      <c r="B239" s="22"/>
      <c r="C239" s="112" t="str">
        <f t="shared" si="3"/>
        <v>-</v>
      </c>
      <c r="D239" s="14"/>
      <c r="E239" s="219"/>
      <c r="F239" s="219"/>
      <c r="G239" s="219"/>
      <c r="H239" s="219"/>
      <c r="I239" s="184"/>
      <c r="J239" s="219"/>
      <c r="K239" s="219"/>
      <c r="L239" s="219"/>
      <c r="M239" s="219"/>
      <c r="N239" s="108"/>
      <c r="O239" s="82"/>
    </row>
    <row r="240" spans="1:15" x14ac:dyDescent="0.2">
      <c r="A240" s="21"/>
      <c r="B240" s="22"/>
      <c r="C240" s="112" t="str">
        <f t="shared" si="3"/>
        <v>-</v>
      </c>
      <c r="D240" s="14"/>
      <c r="E240" s="219"/>
      <c r="F240" s="219"/>
      <c r="G240" s="219"/>
      <c r="H240" s="219"/>
      <c r="I240" s="184"/>
      <c r="J240" s="219"/>
      <c r="K240" s="219"/>
      <c r="L240" s="219"/>
      <c r="M240" s="219"/>
      <c r="N240" s="108"/>
      <c r="O240" s="82"/>
    </row>
    <row r="241" spans="1:15" x14ac:dyDescent="0.2">
      <c r="A241" s="21"/>
      <c r="B241" s="22"/>
      <c r="C241" s="112" t="str">
        <f t="shared" si="3"/>
        <v>-</v>
      </c>
      <c r="D241" s="14"/>
      <c r="E241" s="219"/>
      <c r="F241" s="219"/>
      <c r="G241" s="219"/>
      <c r="H241" s="219"/>
      <c r="I241" s="184"/>
      <c r="J241" s="219"/>
      <c r="K241" s="219"/>
      <c r="L241" s="219"/>
      <c r="M241" s="219"/>
      <c r="N241" s="108"/>
      <c r="O241" s="82"/>
    </row>
    <row r="242" spans="1:15" x14ac:dyDescent="0.2">
      <c r="A242" s="21"/>
      <c r="B242" s="22"/>
      <c r="C242" s="112" t="str">
        <f t="shared" si="3"/>
        <v>-</v>
      </c>
      <c r="D242" s="14"/>
      <c r="E242" s="219"/>
      <c r="F242" s="219"/>
      <c r="G242" s="219"/>
      <c r="H242" s="219"/>
      <c r="I242" s="184"/>
      <c r="J242" s="219"/>
      <c r="K242" s="219"/>
      <c r="L242" s="219"/>
      <c r="M242" s="219"/>
      <c r="N242" s="108"/>
      <c r="O242" s="82"/>
    </row>
    <row r="243" spans="1:15" x14ac:dyDescent="0.2">
      <c r="A243" s="21"/>
      <c r="B243" s="22"/>
      <c r="C243" s="112" t="str">
        <f t="shared" si="3"/>
        <v>-</v>
      </c>
      <c r="D243" s="14"/>
      <c r="E243" s="219"/>
      <c r="F243" s="219"/>
      <c r="G243" s="219"/>
      <c r="H243" s="219"/>
      <c r="I243" s="184"/>
      <c r="J243" s="219"/>
      <c r="K243" s="219"/>
      <c r="L243" s="219"/>
      <c r="M243" s="219"/>
      <c r="N243" s="108"/>
      <c r="O243" s="82"/>
    </row>
    <row r="244" spans="1:15" x14ac:dyDescent="0.2">
      <c r="A244" s="21"/>
      <c r="B244" s="22"/>
      <c r="C244" s="112" t="str">
        <f t="shared" si="3"/>
        <v>-</v>
      </c>
      <c r="D244" s="14"/>
      <c r="E244" s="219"/>
      <c r="F244" s="219"/>
      <c r="G244" s="219"/>
      <c r="H244" s="219"/>
      <c r="I244" s="184"/>
      <c r="J244" s="219"/>
      <c r="K244" s="219"/>
      <c r="L244" s="219"/>
      <c r="M244" s="219"/>
      <c r="N244" s="108"/>
      <c r="O244" s="82"/>
    </row>
    <row r="245" spans="1:15" x14ac:dyDescent="0.2">
      <c r="A245" s="21"/>
      <c r="B245" s="22"/>
      <c r="C245" s="112" t="str">
        <f t="shared" si="3"/>
        <v>-</v>
      </c>
      <c r="D245" s="14"/>
      <c r="E245" s="219"/>
      <c r="F245" s="219"/>
      <c r="G245" s="219"/>
      <c r="H245" s="219"/>
      <c r="I245" s="184"/>
      <c r="J245" s="219"/>
      <c r="K245" s="219"/>
      <c r="L245" s="219"/>
      <c r="M245" s="219"/>
      <c r="N245" s="108"/>
      <c r="O245" s="82"/>
    </row>
    <row r="246" spans="1:15" x14ac:dyDescent="0.2">
      <c r="A246" s="21"/>
      <c r="B246" s="22"/>
      <c r="C246" s="112" t="str">
        <f t="shared" si="3"/>
        <v>-</v>
      </c>
      <c r="D246" s="14"/>
      <c r="E246" s="219"/>
      <c r="F246" s="219"/>
      <c r="G246" s="219"/>
      <c r="H246" s="219"/>
      <c r="I246" s="184"/>
      <c r="J246" s="219"/>
      <c r="K246" s="219"/>
      <c r="L246" s="219"/>
      <c r="M246" s="219"/>
      <c r="N246" s="108"/>
      <c r="O246" s="82"/>
    </row>
    <row r="247" spans="1:15" x14ac:dyDescent="0.2">
      <c r="A247" s="21"/>
      <c r="B247" s="22"/>
      <c r="C247" s="112" t="str">
        <f t="shared" si="3"/>
        <v>-</v>
      </c>
      <c r="D247" s="14"/>
      <c r="E247" s="219"/>
      <c r="F247" s="219"/>
      <c r="G247" s="219"/>
      <c r="H247" s="219"/>
      <c r="I247" s="184"/>
      <c r="J247" s="219"/>
      <c r="K247" s="219"/>
      <c r="L247" s="219"/>
      <c r="M247" s="219"/>
      <c r="N247" s="108"/>
      <c r="O247" s="82"/>
    </row>
    <row r="248" spans="1:15" x14ac:dyDescent="0.2">
      <c r="A248" s="21"/>
      <c r="B248" s="22"/>
      <c r="C248" s="112" t="str">
        <f t="shared" si="3"/>
        <v>-</v>
      </c>
      <c r="D248" s="14"/>
      <c r="E248" s="219"/>
      <c r="F248" s="219"/>
      <c r="G248" s="219"/>
      <c r="H248" s="219"/>
      <c r="I248" s="184"/>
      <c r="J248" s="219"/>
      <c r="K248" s="219"/>
      <c r="L248" s="219"/>
      <c r="M248" s="219"/>
      <c r="N248" s="108"/>
      <c r="O248" s="82"/>
    </row>
    <row r="249" spans="1:15" x14ac:dyDescent="0.2">
      <c r="A249" s="21"/>
      <c r="B249" s="22"/>
      <c r="C249" s="112" t="str">
        <f t="shared" si="3"/>
        <v>-</v>
      </c>
      <c r="D249" s="14"/>
      <c r="E249" s="219"/>
      <c r="F249" s="219"/>
      <c r="G249" s="219"/>
      <c r="H249" s="219"/>
      <c r="I249" s="184"/>
      <c r="J249" s="219"/>
      <c r="K249" s="219"/>
      <c r="L249" s="219"/>
      <c r="M249" s="219"/>
      <c r="N249" s="108"/>
      <c r="O249" s="82"/>
    </row>
    <row r="250" spans="1:15" x14ac:dyDescent="0.2">
      <c r="A250" s="21"/>
      <c r="B250" s="22"/>
      <c r="C250" s="112" t="str">
        <f t="shared" si="3"/>
        <v>-</v>
      </c>
      <c r="D250" s="14"/>
      <c r="E250" s="219"/>
      <c r="F250" s="219"/>
      <c r="G250" s="219"/>
      <c r="H250" s="219"/>
      <c r="I250" s="184"/>
      <c r="J250" s="219"/>
      <c r="K250" s="219"/>
      <c r="L250" s="219"/>
      <c r="M250" s="219"/>
      <c r="N250" s="108"/>
      <c r="O250" s="82"/>
    </row>
    <row r="251" spans="1:15" x14ac:dyDescent="0.2">
      <c r="A251" s="21"/>
      <c r="B251" s="22"/>
      <c r="C251" s="112" t="str">
        <f t="shared" si="3"/>
        <v>-</v>
      </c>
      <c r="D251" s="14"/>
      <c r="E251" s="219"/>
      <c r="F251" s="219"/>
      <c r="G251" s="219"/>
      <c r="H251" s="219"/>
      <c r="I251" s="184"/>
      <c r="J251" s="219"/>
      <c r="K251" s="219"/>
      <c r="L251" s="219"/>
      <c r="M251" s="219"/>
      <c r="N251" s="108"/>
      <c r="O251" s="82"/>
    </row>
    <row r="252" spans="1:15" x14ac:dyDescent="0.2">
      <c r="A252" s="21"/>
      <c r="B252" s="22"/>
      <c r="C252" s="112" t="str">
        <f t="shared" si="3"/>
        <v>-</v>
      </c>
      <c r="D252" s="14"/>
      <c r="E252" s="219"/>
      <c r="F252" s="219"/>
      <c r="G252" s="219"/>
      <c r="H252" s="219"/>
      <c r="I252" s="184"/>
      <c r="J252" s="219"/>
      <c r="K252" s="219"/>
      <c r="L252" s="219"/>
      <c r="M252" s="219"/>
      <c r="N252" s="108"/>
      <c r="O252" s="82"/>
    </row>
    <row r="253" spans="1:15" x14ac:dyDescent="0.2">
      <c r="A253" s="21"/>
      <c r="B253" s="22"/>
      <c r="C253" s="112" t="str">
        <f t="shared" si="3"/>
        <v>-</v>
      </c>
      <c r="D253" s="14"/>
      <c r="E253" s="219"/>
      <c r="F253" s="219"/>
      <c r="G253" s="219"/>
      <c r="H253" s="219"/>
      <c r="I253" s="184"/>
      <c r="J253" s="219"/>
      <c r="K253" s="219"/>
      <c r="L253" s="219"/>
      <c r="M253" s="219"/>
      <c r="N253" s="108"/>
      <c r="O253" s="82"/>
    </row>
    <row r="254" spans="1:15" x14ac:dyDescent="0.2">
      <c r="A254" s="21"/>
      <c r="B254" s="22"/>
      <c r="C254" s="112" t="str">
        <f t="shared" si="3"/>
        <v>-</v>
      </c>
      <c r="D254" s="14"/>
      <c r="E254" s="219"/>
      <c r="F254" s="219"/>
      <c r="G254" s="219"/>
      <c r="H254" s="219"/>
      <c r="I254" s="184"/>
      <c r="J254" s="219"/>
      <c r="K254" s="219"/>
      <c r="L254" s="219"/>
      <c r="M254" s="219"/>
      <c r="N254" s="108"/>
      <c r="O254" s="82"/>
    </row>
    <row r="255" spans="1:15" x14ac:dyDescent="0.2">
      <c r="A255" s="21"/>
      <c r="B255" s="22"/>
      <c r="C255" s="112" t="str">
        <f t="shared" si="3"/>
        <v>-</v>
      </c>
      <c r="D255" s="14"/>
      <c r="E255" s="219"/>
      <c r="F255" s="219"/>
      <c r="G255" s="219"/>
      <c r="H255" s="219"/>
      <c r="I255" s="184"/>
      <c r="J255" s="219"/>
      <c r="K255" s="219"/>
      <c r="L255" s="219"/>
      <c r="M255" s="219"/>
      <c r="N255" s="108"/>
      <c r="O255" s="82"/>
    </row>
    <row r="256" spans="1:15" x14ac:dyDescent="0.2">
      <c r="A256" s="21"/>
      <c r="B256" s="22"/>
      <c r="C256" s="112" t="str">
        <f t="shared" si="3"/>
        <v>-</v>
      </c>
      <c r="D256" s="14"/>
      <c r="E256" s="219"/>
      <c r="F256" s="219"/>
      <c r="G256" s="219"/>
      <c r="H256" s="219"/>
      <c r="I256" s="184"/>
      <c r="J256" s="219"/>
      <c r="K256" s="219"/>
      <c r="L256" s="219"/>
      <c r="M256" s="219"/>
      <c r="N256" s="108"/>
      <c r="O256" s="82"/>
    </row>
    <row r="257" spans="1:15" x14ac:dyDescent="0.2">
      <c r="A257" s="23"/>
      <c r="B257" s="24"/>
      <c r="C257" s="113" t="str">
        <f t="shared" si="3"/>
        <v>-</v>
      </c>
      <c r="D257" s="15"/>
      <c r="E257" s="221"/>
      <c r="F257" s="221"/>
      <c r="G257" s="221"/>
      <c r="H257" s="221"/>
      <c r="I257" s="186"/>
      <c r="J257" s="221"/>
      <c r="K257" s="221"/>
      <c r="L257" s="221"/>
      <c r="M257" s="221"/>
      <c r="N257" s="108"/>
      <c r="O257" s="82"/>
    </row>
    <row r="258" spans="1:15" s="30" customFormat="1" hidden="1" x14ac:dyDescent="0.2">
      <c r="A258" s="25"/>
      <c r="B258" s="26"/>
      <c r="C258" s="17"/>
      <c r="D258" s="17" t="s">
        <v>221</v>
      </c>
      <c r="E258" s="17" t="s">
        <v>221</v>
      </c>
      <c r="F258" s="17"/>
      <c r="G258" s="17"/>
      <c r="H258" s="17"/>
      <c r="I258" s="28"/>
      <c r="J258" s="17" t="s">
        <v>221</v>
      </c>
      <c r="K258" s="17"/>
      <c r="L258" s="17"/>
      <c r="M258" s="17"/>
      <c r="N258" s="17"/>
      <c r="O258" s="29"/>
    </row>
    <row r="259" spans="1:15" x14ac:dyDescent="0.2">
      <c r="A259" s="20"/>
      <c r="B259" s="31"/>
      <c r="C259" s="20"/>
      <c r="D259" s="20"/>
      <c r="E259" s="20"/>
      <c r="F259" s="20"/>
      <c r="G259" s="20"/>
      <c r="H259" s="20"/>
      <c r="I259" s="20"/>
      <c r="J259" s="20"/>
      <c r="O259" s="32"/>
    </row>
    <row r="260" spans="1:15" x14ac:dyDescent="0.2">
      <c r="A260" s="20" t="s">
        <v>9</v>
      </c>
      <c r="B260" s="31"/>
      <c r="C260" s="20"/>
      <c r="D260" s="18">
        <f>SUM(D8:D257)</f>
        <v>0</v>
      </c>
      <c r="E260" s="20"/>
      <c r="F260" s="20"/>
      <c r="G260" s="20"/>
      <c r="H260" s="20"/>
      <c r="I260" s="20"/>
      <c r="J260" s="20"/>
    </row>
    <row r="261" spans="1:15" x14ac:dyDescent="0.2">
      <c r="A261" s="20"/>
      <c r="B261" s="31"/>
      <c r="C261" s="20"/>
      <c r="D261" s="20"/>
      <c r="E261" s="20"/>
      <c r="F261" s="20"/>
      <c r="G261" s="20"/>
      <c r="H261" s="20"/>
      <c r="I261" s="20"/>
    </row>
    <row r="262" spans="1:15" x14ac:dyDescent="0.2">
      <c r="A262" s="204" t="s">
        <v>10</v>
      </c>
      <c r="B262" s="31"/>
      <c r="C262" s="20"/>
      <c r="D262" s="20"/>
      <c r="E262" s="20"/>
      <c r="F262" s="20"/>
      <c r="G262" s="20"/>
      <c r="H262" s="20"/>
      <c r="I262" s="20"/>
    </row>
    <row r="263" spans="1:15" x14ac:dyDescent="0.2">
      <c r="A263" s="20"/>
      <c r="B263" s="31"/>
      <c r="C263" s="20"/>
      <c r="D263" s="20"/>
      <c r="E263" s="20"/>
      <c r="F263" s="20"/>
      <c r="G263" s="20"/>
      <c r="H263" s="20"/>
      <c r="I263" s="20"/>
      <c r="J263" s="35"/>
      <c r="K263" s="35"/>
    </row>
    <row r="264" spans="1:15" x14ac:dyDescent="0.2">
      <c r="A264" s="20"/>
      <c r="B264" s="31"/>
      <c r="C264" s="105"/>
      <c r="D264" s="104" t="s">
        <v>808</v>
      </c>
      <c r="E264" s="20"/>
      <c r="F264" s="20"/>
      <c r="G264" s="20"/>
      <c r="H264" s="20"/>
      <c r="I264" s="20"/>
      <c r="J264" s="20"/>
      <c r="K264" s="35"/>
    </row>
    <row r="265" spans="1:15" x14ac:dyDescent="0.2">
      <c r="A265" s="20"/>
      <c r="B265" s="31"/>
      <c r="C265" s="106"/>
      <c r="D265" s="104" t="s">
        <v>806</v>
      </c>
      <c r="E265" s="20"/>
      <c r="F265" s="20"/>
      <c r="G265" s="20"/>
      <c r="H265" s="20"/>
      <c r="I265" s="20"/>
      <c r="J265" s="20"/>
      <c r="K265" s="20"/>
    </row>
    <row r="266" spans="1:15" x14ac:dyDescent="0.2">
      <c r="A266" s="36"/>
      <c r="B266" s="31"/>
      <c r="C266" s="152"/>
      <c r="D266" s="104" t="s">
        <v>807</v>
      </c>
      <c r="E266" s="20"/>
      <c r="F266" s="20"/>
      <c r="G266" s="20"/>
      <c r="H266" s="20"/>
      <c r="I266" s="20"/>
      <c r="J266" s="20"/>
    </row>
    <row r="267" spans="1:15" x14ac:dyDescent="0.2">
      <c r="A267" s="36"/>
      <c r="B267" s="31"/>
      <c r="C267" s="235"/>
      <c r="D267" s="104" t="s">
        <v>873</v>
      </c>
      <c r="E267" s="20"/>
      <c r="F267" s="20"/>
      <c r="G267" s="20"/>
      <c r="H267" s="20"/>
      <c r="I267" s="20"/>
      <c r="J267" s="20"/>
    </row>
    <row r="268" spans="1:15" ht="13.5" thickBot="1" x14ac:dyDescent="0.25">
      <c r="A268" s="36"/>
      <c r="B268" s="31"/>
      <c r="C268" s="187"/>
      <c r="D268" s="104" t="s">
        <v>826</v>
      </c>
      <c r="E268" s="20"/>
      <c r="F268" s="20"/>
      <c r="G268" s="20"/>
      <c r="H268" s="20"/>
      <c r="I268" s="20"/>
      <c r="J268" s="20"/>
    </row>
    <row r="269" spans="1:15" x14ac:dyDescent="0.2">
      <c r="A269" s="36"/>
      <c r="B269" s="31"/>
      <c r="J269" s="211" t="s">
        <v>584</v>
      </c>
      <c r="K269" s="209" t="s">
        <v>830</v>
      </c>
      <c r="L269" s="263" t="s">
        <v>831</v>
      </c>
      <c r="M269" s="264"/>
    </row>
    <row r="270" spans="1:15" ht="48.75" thickBot="1" x14ac:dyDescent="0.25">
      <c r="A270" s="36"/>
      <c r="B270" s="31"/>
      <c r="J270" s="212" t="s">
        <v>839</v>
      </c>
      <c r="K270" s="210" t="s">
        <v>835</v>
      </c>
      <c r="L270" s="288" t="s">
        <v>838</v>
      </c>
      <c r="M270" s="289"/>
    </row>
    <row r="271" spans="1:15" x14ac:dyDescent="0.2">
      <c r="A271" s="36"/>
      <c r="B271" s="31"/>
    </row>
    <row r="272" spans="1:15" x14ac:dyDescent="0.2">
      <c r="A272" s="36"/>
      <c r="B272" s="31"/>
    </row>
    <row r="273" spans="1:2" x14ac:dyDescent="0.2">
      <c r="A273" s="36"/>
      <c r="B273" s="31"/>
    </row>
  </sheetData>
  <sheetProtection sheet="1" objects="1" scenarios="1" formatCells="0" formatColumns="0" formatRows="0" insertRows="0" insertHyperlinks="0" deleteRows="0" sort="0" autoFilter="0" pivotTables="0"/>
  <dataConsolidate>
    <dataRefs count="1">
      <dataRef ref="O8:O124" sheet="Valves Selection"/>
    </dataRefs>
  </dataConsolidate>
  <mergeCells count="9">
    <mergeCell ref="E3:G3"/>
    <mergeCell ref="E4:G4"/>
    <mergeCell ref="E6:I6"/>
    <mergeCell ref="J6:M6"/>
    <mergeCell ref="N6:O6"/>
    <mergeCell ref="L4:M4"/>
    <mergeCell ref="L3:M3"/>
    <mergeCell ref="L269:M269"/>
    <mergeCell ref="L270:M270"/>
  </mergeCells>
  <conditionalFormatting sqref="G8:G257">
    <cfRule type="expression" priority="6" stopIfTrue="1">
      <formula>ISBLANK($E8)</formula>
    </cfRule>
    <cfRule type="expression" dxfId="6" priority="7" stopIfTrue="1">
      <formula>AND(NOT(ISBLANK($E8)),$C8&lt;$G8)</formula>
    </cfRule>
  </conditionalFormatting>
  <conditionalFormatting sqref="H8:H257">
    <cfRule type="expression" priority="4" stopIfTrue="1">
      <formula>ISBLANK($E8)</formula>
    </cfRule>
    <cfRule type="expression" dxfId="5" priority="5" stopIfTrue="1">
      <formula>AND(NOT(ISBLANK($E8)),$C8&gt;$H8)</formula>
    </cfRule>
  </conditionalFormatting>
  <conditionalFormatting sqref="D8:D257">
    <cfRule type="expression" dxfId="4" priority="2">
      <formula>AND(NOT(ISBLANK($E8)),ISBLANK($D8))</formula>
    </cfRule>
  </conditionalFormatting>
  <conditionalFormatting sqref="E8:E257">
    <cfRule type="expression" dxfId="3" priority="1">
      <formula>AND(NOT(ISBLANK($D8)),ISBLANK($E8))</formula>
    </cfRule>
  </conditionalFormatting>
  <printOptions horizontalCentered="1"/>
  <pageMargins left="0.23622047244094491" right="0.23622047244094491" top="0.39370078740157483" bottom="0.86614173228346458" header="0.31496062992125984" footer="0.31496062992125984"/>
  <pageSetup paperSize="9" scale="72" fitToHeight="100" orientation="landscape" r:id="rId1"/>
  <headerFooter>
    <oddFooter>&amp;L&amp;9 &amp;G     Building Technologies&amp;R&amp;9  &amp;G          Page &amp;P of &amp;N          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ockList">
    <tabColor rgb="FF92D050"/>
  </sheetPr>
  <dimension ref="A1:P308"/>
  <sheetViews>
    <sheetView showGridLines="0" zoomScale="85" zoomScaleNormal="85" workbookViewId="0">
      <pane ySplit="8" topLeftCell="A9" activePane="bottomLeft" state="frozen"/>
      <selection pane="bottomLeft" activeCell="D9" sqref="D9"/>
    </sheetView>
  </sheetViews>
  <sheetFormatPr defaultRowHeight="12.75" x14ac:dyDescent="0.2"/>
  <cols>
    <col min="1" max="1" width="3.28515625" customWidth="1"/>
    <col min="2" max="2" width="3.42578125" customWidth="1"/>
    <col min="3" max="3" width="6.85546875" customWidth="1"/>
    <col min="4" max="4" width="28.140625" customWidth="1"/>
    <col min="5" max="5" width="9.7109375" style="236" customWidth="1"/>
    <col min="6" max="6" width="35.7109375" customWidth="1"/>
    <col min="7" max="7" width="24.85546875" customWidth="1"/>
    <col min="8" max="8" width="9.7109375" customWidth="1"/>
    <col min="9" max="9" width="35.7109375" customWidth="1"/>
    <col min="10" max="10" width="22.28515625" customWidth="1"/>
    <col min="11" max="11" width="9.7109375" style="5" customWidth="1"/>
    <col min="12" max="12" width="35.7109375" style="5" customWidth="1"/>
    <col min="13" max="13" width="14.28515625" customWidth="1"/>
  </cols>
  <sheetData>
    <row r="1" spans="1:16" s="189" customFormat="1" ht="18" x14ac:dyDescent="0.2">
      <c r="C1" s="190"/>
      <c r="D1" s="190"/>
      <c r="J1" s="197" t="s">
        <v>818</v>
      </c>
      <c r="K1" s="203" t="str">
        <f>IF('Valves Selection'!M1=0,"",'Valves Selection'!M1)</f>
        <v>CWQ 1464</v>
      </c>
      <c r="L1" s="197" t="s">
        <v>148</v>
      </c>
      <c r="M1" s="202">
        <f ca="1">IF('Valves Selection'!P1=0,"",'Valves Selection'!P1)</f>
        <v>42651.677298958333</v>
      </c>
    </row>
    <row r="2" spans="1:16" s="189" customFormat="1" ht="23.25" x14ac:dyDescent="0.2">
      <c r="D2" s="259" t="s">
        <v>837</v>
      </c>
      <c r="K2" s="191"/>
      <c r="L2" s="192"/>
      <c r="M2" s="191"/>
    </row>
    <row r="3" spans="1:16" s="189" customFormat="1" ht="15.75" customHeight="1" x14ac:dyDescent="0.2">
      <c r="C3" s="196"/>
      <c r="D3" s="196" t="s">
        <v>820</v>
      </c>
      <c r="E3" s="292" t="str">
        <f>IF('Valves Selection'!E3=0,"",'Valves Selection'!E3)</f>
        <v xml:space="preserve">SCUH Tenancey </v>
      </c>
      <c r="F3" s="292"/>
      <c r="G3" s="292"/>
      <c r="J3" s="163"/>
      <c r="K3" s="196" t="s">
        <v>821</v>
      </c>
      <c r="L3" s="292" t="str">
        <f>IF('Valves Selection'!O3=0,"",'Valves Selection'!O3)</f>
        <v>Shop Steel</v>
      </c>
      <c r="M3" s="292"/>
    </row>
    <row r="4" spans="1:16" s="189" customFormat="1" ht="15.75" customHeight="1" x14ac:dyDescent="0.2">
      <c r="C4" s="196"/>
      <c r="D4" s="196" t="s">
        <v>823</v>
      </c>
      <c r="E4" s="294" t="str">
        <f>IF('Valves Selection'!E4=0,"",'Valves Selection'!E4)</f>
        <v>Controlworks QLD</v>
      </c>
      <c r="F4" s="294"/>
      <c r="G4" s="294"/>
      <c r="J4" s="191"/>
      <c r="K4" s="196" t="s">
        <v>824</v>
      </c>
      <c r="L4" s="293" t="str">
        <f>IF('Valves Selection'!O4=0,"",'Valves Selection'!O4)</f>
        <v/>
      </c>
      <c r="M4" s="293"/>
    </row>
    <row r="5" spans="1:16" s="193" customFormat="1" x14ac:dyDescent="0.2">
      <c r="D5" s="194"/>
      <c r="P5" s="195"/>
    </row>
    <row r="6" spans="1:16" x14ac:dyDescent="0.2">
      <c r="E6"/>
      <c r="G6" s="12"/>
      <c r="I6" s="12"/>
      <c r="J6" s="1"/>
      <c r="K6" s="12"/>
      <c r="L6"/>
    </row>
    <row r="7" spans="1:16" ht="21.75" thickBot="1" x14ac:dyDescent="0.4">
      <c r="A7" s="13"/>
      <c r="D7" s="198" t="s">
        <v>219</v>
      </c>
      <c r="E7"/>
      <c r="G7" s="198" t="s">
        <v>220</v>
      </c>
      <c r="J7" s="198" t="s">
        <v>828</v>
      </c>
      <c r="K7"/>
    </row>
    <row r="8" spans="1:16" ht="13.5" thickBot="1" x14ac:dyDescent="0.25">
      <c r="A8" s="16"/>
      <c r="B8" s="16"/>
      <c r="D8" s="199" t="s">
        <v>146</v>
      </c>
      <c r="E8" s="252" t="s">
        <v>147</v>
      </c>
      <c r="F8" s="200" t="s">
        <v>1300</v>
      </c>
      <c r="G8" s="249" t="s">
        <v>146</v>
      </c>
      <c r="H8" s="253" t="s">
        <v>147</v>
      </c>
      <c r="I8" s="250" t="s">
        <v>1300</v>
      </c>
      <c r="J8" s="251" t="s">
        <v>146</v>
      </c>
      <c r="K8" s="254" t="s">
        <v>147</v>
      </c>
      <c r="L8" s="254" t="s">
        <v>1300</v>
      </c>
    </row>
    <row r="9" spans="1:16" x14ac:dyDescent="0.2">
      <c r="A9" s="11"/>
      <c r="B9" s="11"/>
      <c r="C9" s="11"/>
      <c r="D9" s="11" t="s">
        <v>901</v>
      </c>
      <c r="E9" s="201">
        <v>11</v>
      </c>
      <c r="F9" s="255" t="str">
        <f>IF(D9=-1,-1,VLOOKUP(D9,Data_Descriptions!$A:$B,2,0))</f>
        <v>Valve, 2-Way, External Thread, PN16, DN20, Kvs 4</v>
      </c>
      <c r="G9" s="11">
        <v>-1</v>
      </c>
      <c r="H9" s="11"/>
      <c r="I9" s="255">
        <f>IF(G9=-1,-1,VLOOKUP(G9,Data_Descriptions!$A:$B,2,0))</f>
        <v>-1</v>
      </c>
      <c r="J9" s="11">
        <v>-1</v>
      </c>
      <c r="K9" s="11"/>
      <c r="L9" s="255">
        <f>IF(J9=-1,-1,VLOOKUP(J9,Data_Descriptions!$A:$B,2,0))</f>
        <v>-1</v>
      </c>
      <c r="M9" s="11">
        <v>-1</v>
      </c>
      <c r="N9" s="11"/>
    </row>
    <row r="10" spans="1:16" x14ac:dyDescent="0.2">
      <c r="A10" s="11"/>
      <c r="B10" s="11"/>
      <c r="C10" s="11"/>
      <c r="D10" s="11" t="s">
        <v>905</v>
      </c>
      <c r="E10" s="201">
        <v>1</v>
      </c>
      <c r="F10" s="255" t="str">
        <f>IF(D10=-1,-1,VLOOKUP(D10,Data_Descriptions!$A:$B,2,0))</f>
        <v>Valve, 2-Way, External Thread, PN16, DN25, Kvs 10</v>
      </c>
      <c r="G10" s="11">
        <v>-1</v>
      </c>
      <c r="H10" s="11"/>
      <c r="I10" s="255">
        <f>IF(G10=-1,-1,VLOOKUP(G10,Data_Descriptions!$A:$B,2,0))</f>
        <v>-1</v>
      </c>
      <c r="J10" s="11">
        <v>-1</v>
      </c>
      <c r="K10" s="11"/>
      <c r="L10" s="255">
        <f>IF(J10=-1,-1,VLOOKUP(J10,Data_Descriptions!$A:$B,2,0))</f>
        <v>-1</v>
      </c>
      <c r="M10" s="11">
        <v>-1</v>
      </c>
      <c r="N10" s="11"/>
    </row>
    <row r="11" spans="1:16" x14ac:dyDescent="0.2">
      <c r="A11" s="11"/>
      <c r="B11" s="11"/>
      <c r="C11" s="11"/>
      <c r="D11" s="11" t="s">
        <v>967</v>
      </c>
      <c r="E11" s="201">
        <v>1</v>
      </c>
      <c r="F11" s="255" t="str">
        <f>IF(D11=-1,-1,VLOOKUP(D11,Data_Descriptions!$A:$B,2,0))</f>
        <v>Valve, 2-Way, Internal Thread, PN16, DN32, Kvs 16</v>
      </c>
      <c r="G11" s="11">
        <v>-1</v>
      </c>
      <c r="H11" s="11"/>
      <c r="I11" s="255">
        <f>IF(G11=-1,-1,VLOOKUP(G11,Data_Descriptions!$A:$B,2,0))</f>
        <v>-1</v>
      </c>
      <c r="J11" s="11">
        <v>-1</v>
      </c>
      <c r="K11" s="11"/>
      <c r="L11" s="255">
        <f>IF(J11=-1,-1,VLOOKUP(J11,Data_Descriptions!$A:$B,2,0))</f>
        <v>-1</v>
      </c>
      <c r="M11" s="11">
        <v>-1</v>
      </c>
      <c r="N11" s="11"/>
    </row>
    <row r="12" spans="1:16" x14ac:dyDescent="0.2">
      <c r="A12" s="11"/>
      <c r="B12" s="11"/>
      <c r="C12" s="11"/>
      <c r="D12" s="11" t="s">
        <v>895</v>
      </c>
      <c r="E12" s="201">
        <v>11</v>
      </c>
      <c r="F12" s="255" t="str">
        <f>IF(D12=-1,-1,VLOOKUP(D12,Data_Descriptions!$A:$B,2,0))</f>
        <v>Valve Actuator, 200N, 5.5mm Stroke, AC/DC 24V, Modulating, NSR</v>
      </c>
      <c r="G12" s="11">
        <v>-1</v>
      </c>
      <c r="H12" s="11"/>
      <c r="I12" s="255">
        <f>IF(G12=-1,-1,VLOOKUP(G12,Data_Descriptions!$A:$B,2,0))</f>
        <v>-1</v>
      </c>
      <c r="J12" s="11">
        <v>-1</v>
      </c>
      <c r="K12" s="11"/>
      <c r="L12" s="255">
        <f>IF(J12=-1,-1,VLOOKUP(J12,Data_Descriptions!$A:$B,2,0))</f>
        <v>-1</v>
      </c>
      <c r="M12" s="11">
        <v>-1</v>
      </c>
      <c r="N12" s="11"/>
    </row>
    <row r="13" spans="1:16" x14ac:dyDescent="0.2">
      <c r="A13" s="11"/>
      <c r="B13" s="11"/>
      <c r="C13" s="11"/>
      <c r="D13" s="11" t="s">
        <v>906</v>
      </c>
      <c r="E13" s="201">
        <v>1</v>
      </c>
      <c r="F13" s="255" t="str">
        <f>IF(D13=-1,-1,VLOOKUP(D13,Data_Descriptions!$A:$B,2,0))</f>
        <v>Valve Actuator, 300N, 5.5mm Stroke, AC/DC 24V, Modulating, NSR</v>
      </c>
      <c r="G13" s="11">
        <v>-1</v>
      </c>
      <c r="H13" s="11"/>
      <c r="I13" s="255">
        <f>IF(G13=-1,-1,VLOOKUP(G13,Data_Descriptions!$A:$B,2,0))</f>
        <v>-1</v>
      </c>
      <c r="J13" s="11">
        <v>-1</v>
      </c>
      <c r="K13" s="11"/>
      <c r="L13" s="255">
        <f>IF(J13=-1,-1,VLOOKUP(J13,Data_Descriptions!$A:$B,2,0))</f>
        <v>-1</v>
      </c>
      <c r="M13" s="11">
        <v>-1</v>
      </c>
      <c r="N13" s="11"/>
    </row>
    <row r="14" spans="1:16" x14ac:dyDescent="0.2">
      <c r="A14" s="11"/>
      <c r="B14" s="11"/>
      <c r="C14" s="11"/>
      <c r="D14" s="11" t="s">
        <v>944</v>
      </c>
      <c r="E14" s="201">
        <v>1</v>
      </c>
      <c r="F14" s="255" t="str">
        <f>IF(D14=-1,-1,VLOOKUP(D14,Data_Descriptions!$A:$B,2,0))</f>
        <v>Valve Actuator, 800N, 20mm Stroke, AC/DC 24V, Modulating, NSR (S55150-A100)</v>
      </c>
      <c r="G14" s="11">
        <v>-1</v>
      </c>
      <c r="H14" s="11"/>
      <c r="I14" s="255">
        <f>IF(G14=-1,-1,VLOOKUP(G14,Data_Descriptions!$A:$B,2,0))</f>
        <v>-1</v>
      </c>
      <c r="J14" s="11">
        <v>-1</v>
      </c>
      <c r="K14" s="11"/>
      <c r="L14" s="255">
        <f>IF(J14=-1,-1,VLOOKUP(J14,Data_Descriptions!$A:$B,2,0))</f>
        <v>-1</v>
      </c>
      <c r="M14" s="11">
        <v>-1</v>
      </c>
      <c r="N14" s="11"/>
    </row>
    <row r="15" spans="1:16" x14ac:dyDescent="0.2">
      <c r="A15" s="11"/>
      <c r="B15" s="11"/>
      <c r="C15" s="11"/>
      <c r="D15" s="11" t="s">
        <v>902</v>
      </c>
      <c r="E15" s="201">
        <v>11</v>
      </c>
      <c r="F15" s="255" t="str">
        <f>IF(D15=-1,-1,VLOOKUP(D15,Data_Descriptions!$A:$B,2,0))</f>
        <v>Valve Accessory, 15mm Fitting - 2 Brass Fittings (S55846-Z100)</v>
      </c>
      <c r="G15" s="11">
        <v>-1</v>
      </c>
      <c r="H15" s="11"/>
      <c r="I15" s="255">
        <f>IF(G15=-1,-1,VLOOKUP(G15,Data_Descriptions!$A:$B,2,0))</f>
        <v>-1</v>
      </c>
      <c r="J15" s="11">
        <v>-1</v>
      </c>
      <c r="K15" s="11"/>
      <c r="L15" s="255">
        <f>IF(J15=-1,-1,VLOOKUP(J15,Data_Descriptions!$A:$B,2,0))</f>
        <v>-1</v>
      </c>
      <c r="M15" s="11">
        <v>-1</v>
      </c>
      <c r="N15" s="11"/>
    </row>
    <row r="16" spans="1:16" x14ac:dyDescent="0.2">
      <c r="A16" s="11"/>
      <c r="B16" s="11"/>
      <c r="C16" s="11"/>
      <c r="D16" s="11" t="s">
        <v>907</v>
      </c>
      <c r="E16" s="201">
        <v>1</v>
      </c>
      <c r="F16" s="255" t="str">
        <f>IF(D16=-1,-1,VLOOKUP(D16,Data_Descriptions!$A:$B,2,0))</f>
        <v>Valve Accessory, 25mm Fitting - 2 Brass Fittings (S55846-Z104)</v>
      </c>
      <c r="G16" s="11">
        <v>-1</v>
      </c>
      <c r="H16" s="11"/>
      <c r="I16" s="255">
        <f>IF(G16=-1,-1,VLOOKUP(G16,Data_Descriptions!$A:$B,2,0))</f>
        <v>-1</v>
      </c>
      <c r="J16" s="11">
        <v>-1</v>
      </c>
      <c r="K16" s="11"/>
      <c r="L16" s="255">
        <f>IF(J16=-1,-1,VLOOKUP(J16,Data_Descriptions!$A:$B,2,0))</f>
        <v>-1</v>
      </c>
      <c r="M16" s="11">
        <v>-1</v>
      </c>
      <c r="N16" s="11"/>
    </row>
    <row r="17" spans="1:14" x14ac:dyDescent="0.2">
      <c r="A17" s="11"/>
      <c r="B17" s="11"/>
      <c r="C17" s="11"/>
      <c r="D17" s="11">
        <v>-1</v>
      </c>
      <c r="E17" s="201"/>
      <c r="F17" s="255">
        <f>IF(D17=-1,-1,VLOOKUP(D17,Data_Descriptions!$A:$B,2,0))</f>
        <v>-1</v>
      </c>
      <c r="G17" s="11">
        <v>-1</v>
      </c>
      <c r="H17" s="11"/>
      <c r="I17" s="255">
        <f>IF(G17=-1,-1,VLOOKUP(G17,Data_Descriptions!$A:$B,2,0))</f>
        <v>-1</v>
      </c>
      <c r="J17" s="11">
        <v>-1</v>
      </c>
      <c r="K17" s="11"/>
      <c r="L17" s="255">
        <f>IF(J17=-1,-1,VLOOKUP(J17,Data_Descriptions!$A:$B,2,0))</f>
        <v>-1</v>
      </c>
      <c r="M17" s="11">
        <v>-1</v>
      </c>
      <c r="N17" s="11"/>
    </row>
    <row r="18" spans="1:14" x14ac:dyDescent="0.2">
      <c r="A18" s="11"/>
      <c r="B18" s="11"/>
      <c r="C18" s="11"/>
      <c r="D18" s="11">
        <v>-1</v>
      </c>
      <c r="E18" s="201"/>
      <c r="F18" s="255">
        <f>IF(D18=-1,-1,VLOOKUP(D18,Data_Descriptions!$A:$B,2,0))</f>
        <v>-1</v>
      </c>
      <c r="G18" s="11">
        <v>-1</v>
      </c>
      <c r="H18" s="11"/>
      <c r="I18" s="255">
        <f>IF(G18=-1,-1,VLOOKUP(G18,Data_Descriptions!$A:$B,2,0))</f>
        <v>-1</v>
      </c>
      <c r="J18" s="11">
        <v>-1</v>
      </c>
      <c r="K18" s="11"/>
      <c r="L18" s="255">
        <f>IF(J18=-1,-1,VLOOKUP(J18,Data_Descriptions!$A:$B,2,0))</f>
        <v>-1</v>
      </c>
      <c r="M18" s="11">
        <v>-1</v>
      </c>
      <c r="N18" s="11"/>
    </row>
    <row r="19" spans="1:14" x14ac:dyDescent="0.2">
      <c r="A19" s="11"/>
      <c r="B19" s="11"/>
      <c r="C19" s="11"/>
      <c r="D19" s="11">
        <v>-1</v>
      </c>
      <c r="E19" s="201"/>
      <c r="F19" s="255">
        <f>IF(D19=-1,-1,VLOOKUP(D19,Data_Descriptions!$A:$B,2,0))</f>
        <v>-1</v>
      </c>
      <c r="G19" s="11">
        <v>-1</v>
      </c>
      <c r="H19" s="11"/>
      <c r="I19" s="255">
        <f>IF(G19=-1,-1,VLOOKUP(G19,Data_Descriptions!$A:$B,2,0))</f>
        <v>-1</v>
      </c>
      <c r="J19" s="11">
        <v>-1</v>
      </c>
      <c r="K19" s="11"/>
      <c r="L19" s="255">
        <f>IF(J19=-1,-1,VLOOKUP(J19,Data_Descriptions!$A:$B,2,0))</f>
        <v>-1</v>
      </c>
      <c r="M19" s="11">
        <v>-1</v>
      </c>
      <c r="N19" s="11"/>
    </row>
    <row r="20" spans="1:14" x14ac:dyDescent="0.2">
      <c r="A20" s="11"/>
      <c r="B20" s="11"/>
      <c r="C20" s="11"/>
      <c r="D20" s="11">
        <v>-1</v>
      </c>
      <c r="E20" s="201"/>
      <c r="F20" s="255">
        <f>IF(D20=-1,-1,VLOOKUP(D20,Data_Descriptions!$A:$B,2,0))</f>
        <v>-1</v>
      </c>
      <c r="G20" s="11">
        <v>-1</v>
      </c>
      <c r="H20" s="11"/>
      <c r="I20" s="255">
        <f>IF(G20=-1,-1,VLOOKUP(G20,Data_Descriptions!$A:$B,2,0))</f>
        <v>-1</v>
      </c>
      <c r="J20" s="11">
        <v>-1</v>
      </c>
      <c r="K20" s="11"/>
      <c r="L20" s="255">
        <f>IF(J20=-1,-1,VLOOKUP(J20,Data_Descriptions!$A:$B,2,0))</f>
        <v>-1</v>
      </c>
      <c r="M20" s="11">
        <v>-1</v>
      </c>
      <c r="N20" s="11"/>
    </row>
    <row r="21" spans="1:14" x14ac:dyDescent="0.2">
      <c r="A21" s="11"/>
      <c r="B21" s="11"/>
      <c r="C21" s="11"/>
      <c r="D21" s="11">
        <v>-1</v>
      </c>
      <c r="E21" s="201"/>
      <c r="F21" s="255">
        <f>IF(D21=-1,-1,VLOOKUP(D21,Data_Descriptions!$A:$B,2,0))</f>
        <v>-1</v>
      </c>
      <c r="G21" s="11">
        <v>-1</v>
      </c>
      <c r="H21" s="11"/>
      <c r="I21" s="255">
        <f>IF(G21=-1,-1,VLOOKUP(G21,Data_Descriptions!$A:$B,2,0))</f>
        <v>-1</v>
      </c>
      <c r="J21" s="11">
        <v>-1</v>
      </c>
      <c r="K21" s="11"/>
      <c r="L21" s="255">
        <f>IF(J21=-1,-1,VLOOKUP(J21,Data_Descriptions!$A:$B,2,0))</f>
        <v>-1</v>
      </c>
      <c r="M21" s="11">
        <v>-1</v>
      </c>
      <c r="N21" s="11"/>
    </row>
    <row r="22" spans="1:14" x14ac:dyDescent="0.2">
      <c r="A22" s="11"/>
      <c r="B22" s="11"/>
      <c r="C22" s="11"/>
      <c r="D22" s="11">
        <v>-1</v>
      </c>
      <c r="E22" s="201"/>
      <c r="F22" s="255">
        <f>IF(D22=-1,-1,VLOOKUP(D22,Data_Descriptions!$A:$B,2,0))</f>
        <v>-1</v>
      </c>
      <c r="G22" s="11">
        <v>-1</v>
      </c>
      <c r="H22" s="11"/>
      <c r="I22" s="255">
        <f>IF(G22=-1,-1,VLOOKUP(G22,Data_Descriptions!$A:$B,2,0))</f>
        <v>-1</v>
      </c>
      <c r="J22" s="11">
        <v>-1</v>
      </c>
      <c r="K22" s="11"/>
      <c r="L22" s="255">
        <f>IF(J22=-1,-1,VLOOKUP(J22,Data_Descriptions!$A:$B,2,0))</f>
        <v>-1</v>
      </c>
      <c r="M22" s="11">
        <v>-1</v>
      </c>
      <c r="N22" s="11"/>
    </row>
    <row r="23" spans="1:14" x14ac:dyDescent="0.2">
      <c r="A23" s="11"/>
      <c r="B23" s="11"/>
      <c r="C23" s="11"/>
      <c r="D23" s="11">
        <v>-1</v>
      </c>
      <c r="E23" s="201"/>
      <c r="F23" s="255">
        <f>IF(D23=-1,-1,VLOOKUP(D23,Data_Descriptions!$A:$B,2,0))</f>
        <v>-1</v>
      </c>
      <c r="G23" s="11">
        <v>-1</v>
      </c>
      <c r="H23" s="11"/>
      <c r="I23" s="255">
        <f>IF(G23=-1,-1,VLOOKUP(G23,Data_Descriptions!$A:$B,2,0))</f>
        <v>-1</v>
      </c>
      <c r="J23" s="11">
        <v>-1</v>
      </c>
      <c r="K23" s="11"/>
      <c r="L23" s="255">
        <f>IF(J23=-1,-1,VLOOKUP(J23,Data_Descriptions!$A:$B,2,0))</f>
        <v>-1</v>
      </c>
      <c r="M23" s="11">
        <v>-1</v>
      </c>
      <c r="N23" s="11"/>
    </row>
    <row r="24" spans="1:14" x14ac:dyDescent="0.2">
      <c r="A24" s="11"/>
      <c r="B24" s="11"/>
      <c r="C24" s="11"/>
      <c r="D24" s="11">
        <v>-1</v>
      </c>
      <c r="E24" s="201"/>
      <c r="F24" s="255">
        <f>IF(D24=-1,-1,VLOOKUP(D24,Data_Descriptions!$A:$B,2,0))</f>
        <v>-1</v>
      </c>
      <c r="G24" s="11">
        <v>-1</v>
      </c>
      <c r="H24" s="11"/>
      <c r="I24" s="255">
        <f>IF(G24=-1,-1,VLOOKUP(G24,Data_Descriptions!$A:$B,2,0))</f>
        <v>-1</v>
      </c>
      <c r="J24" s="11">
        <v>-1</v>
      </c>
      <c r="K24" s="11"/>
      <c r="L24" s="255">
        <f>IF(J24=-1,-1,VLOOKUP(J24,Data_Descriptions!$A:$B,2,0))</f>
        <v>-1</v>
      </c>
      <c r="M24" s="11">
        <v>-1</v>
      </c>
      <c r="N24" s="11"/>
    </row>
    <row r="25" spans="1:14" x14ac:dyDescent="0.2">
      <c r="A25" s="11"/>
      <c r="B25" s="11"/>
      <c r="C25" s="11"/>
      <c r="D25" s="11">
        <v>-1</v>
      </c>
      <c r="E25" s="201"/>
      <c r="F25" s="255">
        <f>IF(D25=-1,-1,VLOOKUP(D25,Data_Descriptions!$A:$B,2,0))</f>
        <v>-1</v>
      </c>
      <c r="G25" s="11">
        <v>-1</v>
      </c>
      <c r="H25" s="11"/>
      <c r="I25" s="255">
        <f>IF(G25=-1,-1,VLOOKUP(G25,Data_Descriptions!$A:$B,2,0))</f>
        <v>-1</v>
      </c>
      <c r="J25" s="11">
        <v>-1</v>
      </c>
      <c r="K25" s="11"/>
      <c r="L25" s="255">
        <f>IF(J25=-1,-1,VLOOKUP(J25,Data_Descriptions!$A:$B,2,0))</f>
        <v>-1</v>
      </c>
      <c r="M25" s="11">
        <v>-1</v>
      </c>
      <c r="N25" s="11"/>
    </row>
    <row r="26" spans="1:14" x14ac:dyDescent="0.2">
      <c r="A26" s="11"/>
      <c r="B26" s="11"/>
      <c r="C26" s="11"/>
      <c r="D26" s="11">
        <v>-1</v>
      </c>
      <c r="E26" s="201"/>
      <c r="F26" s="255">
        <f>IF(D26=-1,-1,VLOOKUP(D26,Data_Descriptions!$A:$B,2,0))</f>
        <v>-1</v>
      </c>
      <c r="G26" s="11">
        <v>-1</v>
      </c>
      <c r="H26" s="11"/>
      <c r="I26" s="255">
        <f>IF(G26=-1,-1,VLOOKUP(G26,Data_Descriptions!$A:$B,2,0))</f>
        <v>-1</v>
      </c>
      <c r="J26" s="11">
        <v>-1</v>
      </c>
      <c r="K26" s="11"/>
      <c r="L26" s="255">
        <f>IF(J26=-1,-1,VLOOKUP(J26,Data_Descriptions!$A:$B,2,0))</f>
        <v>-1</v>
      </c>
      <c r="M26" s="11">
        <v>-1</v>
      </c>
      <c r="N26" s="11"/>
    </row>
    <row r="27" spans="1:14" x14ac:dyDescent="0.2">
      <c r="A27" s="11"/>
      <c r="B27" s="11"/>
      <c r="C27" s="11"/>
      <c r="D27" s="11">
        <v>-1</v>
      </c>
      <c r="E27" s="201"/>
      <c r="F27" s="255">
        <f>IF(D27=-1,-1,VLOOKUP(D27,Data_Descriptions!$A:$B,2,0))</f>
        <v>-1</v>
      </c>
      <c r="G27" s="11">
        <v>-1</v>
      </c>
      <c r="H27" s="11"/>
      <c r="I27" s="255">
        <f>IF(G27=-1,-1,VLOOKUP(G27,Data_Descriptions!$A:$B,2,0))</f>
        <v>-1</v>
      </c>
      <c r="J27" s="11">
        <v>-1</v>
      </c>
      <c r="K27" s="11"/>
      <c r="L27" s="255">
        <f>IF(J27=-1,-1,VLOOKUP(J27,Data_Descriptions!$A:$B,2,0))</f>
        <v>-1</v>
      </c>
      <c r="M27" s="11">
        <v>-1</v>
      </c>
      <c r="N27" s="11"/>
    </row>
    <row r="28" spans="1:14" x14ac:dyDescent="0.2">
      <c r="A28" s="11"/>
      <c r="B28" s="11"/>
      <c r="C28" s="11"/>
      <c r="D28" s="11">
        <v>-1</v>
      </c>
      <c r="E28" s="201"/>
      <c r="F28" s="255">
        <f>IF(D28=-1,-1,VLOOKUP(D28,Data_Descriptions!$A:$B,2,0))</f>
        <v>-1</v>
      </c>
      <c r="G28" s="11">
        <v>-1</v>
      </c>
      <c r="H28" s="11"/>
      <c r="I28" s="255">
        <f>IF(G28=-1,-1,VLOOKUP(G28,Data_Descriptions!$A:$B,2,0))</f>
        <v>-1</v>
      </c>
      <c r="J28" s="11">
        <v>-1</v>
      </c>
      <c r="K28" s="11"/>
      <c r="L28" s="255">
        <f>IF(J28=-1,-1,VLOOKUP(J28,Data_Descriptions!$A:$B,2,0))</f>
        <v>-1</v>
      </c>
      <c r="M28" s="11">
        <v>-1</v>
      </c>
      <c r="N28" s="11"/>
    </row>
    <row r="29" spans="1:14" x14ac:dyDescent="0.2">
      <c r="A29" s="11"/>
      <c r="B29" s="11"/>
      <c r="C29" s="11"/>
      <c r="D29" s="11">
        <v>-1</v>
      </c>
      <c r="E29" s="201"/>
      <c r="F29" s="255">
        <f>IF(D29=-1,-1,VLOOKUP(D29,Data_Descriptions!$A:$B,2,0))</f>
        <v>-1</v>
      </c>
      <c r="G29" s="11">
        <v>-1</v>
      </c>
      <c r="H29" s="11"/>
      <c r="I29" s="255">
        <f>IF(G29=-1,-1,VLOOKUP(G29,Data_Descriptions!$A:$B,2,0))</f>
        <v>-1</v>
      </c>
      <c r="J29" s="11">
        <v>-1</v>
      </c>
      <c r="K29" s="11"/>
      <c r="L29" s="255">
        <f>IF(J29=-1,-1,VLOOKUP(J29,Data_Descriptions!$A:$B,2,0))</f>
        <v>-1</v>
      </c>
      <c r="M29" s="11">
        <v>-1</v>
      </c>
      <c r="N29" s="11"/>
    </row>
    <row r="30" spans="1:14" x14ac:dyDescent="0.2">
      <c r="A30" s="11"/>
      <c r="B30" s="11"/>
      <c r="C30" s="11"/>
      <c r="D30" s="11">
        <v>-1</v>
      </c>
      <c r="E30" s="201"/>
      <c r="F30" s="255">
        <f>IF(D30=-1,-1,VLOOKUP(D30,Data_Descriptions!$A:$B,2,0))</f>
        <v>-1</v>
      </c>
      <c r="G30" s="11">
        <v>-1</v>
      </c>
      <c r="H30" s="11"/>
      <c r="I30" s="255">
        <f>IF(G30=-1,-1,VLOOKUP(G30,Data_Descriptions!$A:$B,2,0))</f>
        <v>-1</v>
      </c>
      <c r="J30" s="11">
        <v>-1</v>
      </c>
      <c r="K30" s="11"/>
      <c r="L30" s="255">
        <f>IF(J30=-1,-1,VLOOKUP(J30,Data_Descriptions!$A:$B,2,0))</f>
        <v>-1</v>
      </c>
      <c r="M30" s="11">
        <v>-1</v>
      </c>
      <c r="N30" s="11"/>
    </row>
    <row r="31" spans="1:14" x14ac:dyDescent="0.2">
      <c r="A31" s="11"/>
      <c r="B31" s="11"/>
      <c r="C31" s="11"/>
      <c r="D31" s="11">
        <v>-1</v>
      </c>
      <c r="E31" s="201"/>
      <c r="F31" s="255">
        <f>IF(D31=-1,-1,VLOOKUP(D31,Data_Descriptions!$A:$B,2,0))</f>
        <v>-1</v>
      </c>
      <c r="G31" s="11">
        <v>-1</v>
      </c>
      <c r="H31" s="11"/>
      <c r="I31" s="255">
        <f>IF(G31=-1,-1,VLOOKUP(G31,Data_Descriptions!$A:$B,2,0))</f>
        <v>-1</v>
      </c>
      <c r="J31" s="11">
        <v>-1</v>
      </c>
      <c r="K31" s="11"/>
      <c r="L31" s="255">
        <f>IF(J31=-1,-1,VLOOKUP(J31,Data_Descriptions!$A:$B,2,0))</f>
        <v>-1</v>
      </c>
      <c r="M31" s="11">
        <v>-1</v>
      </c>
      <c r="N31" s="11"/>
    </row>
    <row r="32" spans="1:14" x14ac:dyDescent="0.2">
      <c r="A32" s="11"/>
      <c r="B32" s="11"/>
      <c r="C32" s="11"/>
      <c r="D32" s="11">
        <v>-1</v>
      </c>
      <c r="E32" s="201"/>
      <c r="F32" s="255">
        <f>IF(D32=-1,-1,VLOOKUP(D32,Data_Descriptions!$A:$B,2,0))</f>
        <v>-1</v>
      </c>
      <c r="G32" s="11">
        <v>-1</v>
      </c>
      <c r="H32" s="11"/>
      <c r="I32" s="255">
        <f>IF(G32=-1,-1,VLOOKUP(G32,Data_Descriptions!$A:$B,2,0))</f>
        <v>-1</v>
      </c>
      <c r="J32" s="11">
        <v>-1</v>
      </c>
      <c r="K32" s="11"/>
      <c r="L32" s="255">
        <f>IF(J32=-1,-1,VLOOKUP(J32,Data_Descriptions!$A:$B,2,0))</f>
        <v>-1</v>
      </c>
      <c r="M32" s="11">
        <v>-1</v>
      </c>
      <c r="N32" s="11"/>
    </row>
    <row r="33" spans="1:14" x14ac:dyDescent="0.2">
      <c r="A33" s="11"/>
      <c r="B33" s="11"/>
      <c r="C33" s="11"/>
      <c r="D33" s="11">
        <v>-1</v>
      </c>
      <c r="E33" s="201"/>
      <c r="F33" s="255">
        <f>IF(D33=-1,-1,VLOOKUP(D33,Data_Descriptions!$A:$B,2,0))</f>
        <v>-1</v>
      </c>
      <c r="G33" s="11">
        <v>-1</v>
      </c>
      <c r="H33" s="11"/>
      <c r="I33" s="255">
        <f>IF(G33=-1,-1,VLOOKUP(G33,Data_Descriptions!$A:$B,2,0))</f>
        <v>-1</v>
      </c>
      <c r="J33" s="11">
        <v>-1</v>
      </c>
      <c r="K33" s="11"/>
      <c r="L33" s="255">
        <f>IF(J33=-1,-1,VLOOKUP(J33,Data_Descriptions!$A:$B,2,0))</f>
        <v>-1</v>
      </c>
      <c r="M33" s="11">
        <v>-1</v>
      </c>
      <c r="N33" s="11"/>
    </row>
    <row r="34" spans="1:14" x14ac:dyDescent="0.2">
      <c r="A34" s="11"/>
      <c r="B34" s="11"/>
      <c r="C34" s="11"/>
      <c r="D34" s="11">
        <v>-1</v>
      </c>
      <c r="E34" s="201"/>
      <c r="F34" s="255">
        <f>IF(D34=-1,-1,VLOOKUP(D34,Data_Descriptions!$A:$B,2,0))</f>
        <v>-1</v>
      </c>
      <c r="G34" s="11">
        <v>-1</v>
      </c>
      <c r="H34" s="11"/>
      <c r="I34" s="255">
        <f>IF(G34=-1,-1,VLOOKUP(G34,Data_Descriptions!$A:$B,2,0))</f>
        <v>-1</v>
      </c>
      <c r="J34" s="11">
        <v>-1</v>
      </c>
      <c r="K34" s="11"/>
      <c r="L34" s="255">
        <f>IF(J34=-1,-1,VLOOKUP(J34,Data_Descriptions!$A:$B,2,0))</f>
        <v>-1</v>
      </c>
      <c r="M34" s="11">
        <v>-1</v>
      </c>
      <c r="N34" s="11"/>
    </row>
    <row r="35" spans="1:14" x14ac:dyDescent="0.2">
      <c r="A35" s="11"/>
      <c r="B35" s="11"/>
      <c r="C35" s="11"/>
      <c r="D35" s="11">
        <v>-1</v>
      </c>
      <c r="E35" s="201"/>
      <c r="F35" s="255">
        <f>IF(D35=-1,-1,VLOOKUP(D35,Data_Descriptions!$A:$B,2,0))</f>
        <v>-1</v>
      </c>
      <c r="G35" s="11">
        <v>-1</v>
      </c>
      <c r="H35" s="11"/>
      <c r="I35" s="255">
        <f>IF(G35=-1,-1,VLOOKUP(G35,Data_Descriptions!$A:$B,2,0))</f>
        <v>-1</v>
      </c>
      <c r="J35" s="11">
        <v>-1</v>
      </c>
      <c r="K35" s="11"/>
      <c r="L35" s="255">
        <f>IF(J35=-1,-1,VLOOKUP(J35,Data_Descriptions!$A:$B,2,0))</f>
        <v>-1</v>
      </c>
      <c r="M35" s="11">
        <v>-1</v>
      </c>
      <c r="N35" s="11"/>
    </row>
    <row r="36" spans="1:14" x14ac:dyDescent="0.2">
      <c r="A36" s="11"/>
      <c r="B36" s="11"/>
      <c r="C36" s="11"/>
      <c r="D36" s="11">
        <v>-1</v>
      </c>
      <c r="E36" s="201"/>
      <c r="F36" s="255">
        <f>IF(D36=-1,-1,VLOOKUP(D36,Data_Descriptions!$A:$B,2,0))</f>
        <v>-1</v>
      </c>
      <c r="G36" s="11">
        <v>-1</v>
      </c>
      <c r="H36" s="11"/>
      <c r="I36" s="255">
        <f>IF(G36=-1,-1,VLOOKUP(G36,Data_Descriptions!$A:$B,2,0))</f>
        <v>-1</v>
      </c>
      <c r="J36" s="11">
        <v>-1</v>
      </c>
      <c r="K36" s="11"/>
      <c r="L36" s="255">
        <f>IF(J36=-1,-1,VLOOKUP(J36,Data_Descriptions!$A:$B,2,0))</f>
        <v>-1</v>
      </c>
      <c r="M36" s="11">
        <v>-1</v>
      </c>
      <c r="N36" s="11"/>
    </row>
    <row r="37" spans="1:14" x14ac:dyDescent="0.2">
      <c r="A37" s="11"/>
      <c r="B37" s="11"/>
      <c r="C37" s="11"/>
      <c r="D37" s="11">
        <v>-1</v>
      </c>
      <c r="E37" s="201"/>
      <c r="F37" s="255">
        <f>IF(D37=-1,-1,VLOOKUP(D37,Data_Descriptions!$A:$B,2,0))</f>
        <v>-1</v>
      </c>
      <c r="G37" s="11">
        <v>-1</v>
      </c>
      <c r="H37" s="11"/>
      <c r="I37" s="255">
        <f>IF(G37=-1,-1,VLOOKUP(G37,Data_Descriptions!$A:$B,2,0))</f>
        <v>-1</v>
      </c>
      <c r="J37" s="11">
        <v>-1</v>
      </c>
      <c r="K37" s="11"/>
      <c r="L37" s="255">
        <f>IF(J37=-1,-1,VLOOKUP(J37,Data_Descriptions!$A:$B,2,0))</f>
        <v>-1</v>
      </c>
      <c r="M37" s="11">
        <v>-1</v>
      </c>
      <c r="N37" s="11"/>
    </row>
    <row r="38" spans="1:14" x14ac:dyDescent="0.2">
      <c r="A38" s="11"/>
      <c r="B38" s="11"/>
      <c r="C38" s="11"/>
      <c r="D38" s="11">
        <v>-1</v>
      </c>
      <c r="E38" s="201"/>
      <c r="F38" s="255">
        <f>IF(D38=-1,-1,VLOOKUP(D38,Data_Descriptions!$A:$B,2,0))</f>
        <v>-1</v>
      </c>
      <c r="G38" s="11">
        <v>-1</v>
      </c>
      <c r="H38" s="11"/>
      <c r="I38" s="255">
        <f>IF(G38=-1,-1,VLOOKUP(G38,Data_Descriptions!$A:$B,2,0))</f>
        <v>-1</v>
      </c>
      <c r="J38" s="11">
        <v>-1</v>
      </c>
      <c r="K38" s="11"/>
      <c r="L38" s="255">
        <f>IF(J38=-1,-1,VLOOKUP(J38,Data_Descriptions!$A:$B,2,0))</f>
        <v>-1</v>
      </c>
      <c r="M38" s="11">
        <v>-1</v>
      </c>
      <c r="N38" s="11"/>
    </row>
    <row r="39" spans="1:14" x14ac:dyDescent="0.2">
      <c r="A39" s="11"/>
      <c r="B39" s="11"/>
      <c r="C39" s="11"/>
      <c r="D39" s="11">
        <v>-1</v>
      </c>
      <c r="E39" s="201"/>
      <c r="F39" s="255">
        <f>IF(D39=-1,-1,VLOOKUP(D39,Data_Descriptions!$A:$B,2,0))</f>
        <v>-1</v>
      </c>
      <c r="G39" s="11">
        <v>-1</v>
      </c>
      <c r="H39" s="11"/>
      <c r="I39" s="255">
        <f>IF(G39=-1,-1,VLOOKUP(G39,Data_Descriptions!$A:$B,2,0))</f>
        <v>-1</v>
      </c>
      <c r="J39" s="11">
        <v>-1</v>
      </c>
      <c r="K39" s="11"/>
      <c r="L39" s="255">
        <f>IF(J39=-1,-1,VLOOKUP(J39,Data_Descriptions!$A:$B,2,0))</f>
        <v>-1</v>
      </c>
      <c r="M39" s="11">
        <v>-1</v>
      </c>
      <c r="N39" s="11"/>
    </row>
    <row r="40" spans="1:14" x14ac:dyDescent="0.2">
      <c r="A40" s="11"/>
      <c r="B40" s="11"/>
      <c r="C40" s="11"/>
      <c r="D40" s="11">
        <v>-1</v>
      </c>
      <c r="E40" s="201"/>
      <c r="F40" s="255">
        <f>IF(D40=-1,-1,VLOOKUP(D40,Data_Descriptions!$A:$B,2,0))</f>
        <v>-1</v>
      </c>
      <c r="G40" s="11">
        <v>-1</v>
      </c>
      <c r="H40" s="11"/>
      <c r="I40" s="255">
        <f>IF(G40=-1,-1,VLOOKUP(G40,Data_Descriptions!$A:$B,2,0))</f>
        <v>-1</v>
      </c>
      <c r="J40" s="11">
        <v>-1</v>
      </c>
      <c r="K40" s="11"/>
      <c r="L40" s="255">
        <f>IF(J40=-1,-1,VLOOKUP(J40,Data_Descriptions!$A:$B,2,0))</f>
        <v>-1</v>
      </c>
      <c r="M40" s="11">
        <v>-1</v>
      </c>
      <c r="N40" s="11"/>
    </row>
    <row r="41" spans="1:14" x14ac:dyDescent="0.2">
      <c r="A41" s="11"/>
      <c r="B41" s="11"/>
      <c r="C41" s="11"/>
      <c r="D41" s="11">
        <v>-1</v>
      </c>
      <c r="E41" s="201"/>
      <c r="F41" s="255">
        <f>IF(D41=-1,-1,VLOOKUP(D41,Data_Descriptions!$A:$B,2,0))</f>
        <v>-1</v>
      </c>
      <c r="G41" s="11">
        <v>-1</v>
      </c>
      <c r="H41" s="11"/>
      <c r="I41" s="255">
        <f>IF(G41=-1,-1,VLOOKUP(G41,Data_Descriptions!$A:$B,2,0))</f>
        <v>-1</v>
      </c>
      <c r="J41" s="11">
        <v>-1</v>
      </c>
      <c r="K41" s="11"/>
      <c r="L41" s="255">
        <f>IF(J41=-1,-1,VLOOKUP(J41,Data_Descriptions!$A:$B,2,0))</f>
        <v>-1</v>
      </c>
      <c r="M41" s="11">
        <v>-1</v>
      </c>
      <c r="N41" s="11"/>
    </row>
    <row r="42" spans="1:14" x14ac:dyDescent="0.2">
      <c r="A42" s="11"/>
      <c r="B42" s="11"/>
      <c r="C42" s="11"/>
      <c r="D42" s="11">
        <v>-1</v>
      </c>
      <c r="E42" s="201"/>
      <c r="F42" s="255">
        <f>IF(D42=-1,-1,VLOOKUP(D42,Data_Descriptions!$A:$B,2,0))</f>
        <v>-1</v>
      </c>
      <c r="G42" s="11">
        <v>-1</v>
      </c>
      <c r="H42" s="11"/>
      <c r="I42" s="255">
        <f>IF(G42=-1,-1,VLOOKUP(G42,Data_Descriptions!$A:$B,2,0))</f>
        <v>-1</v>
      </c>
      <c r="J42" s="11">
        <v>-1</v>
      </c>
      <c r="K42" s="11"/>
      <c r="L42" s="255">
        <f>IF(J42=-1,-1,VLOOKUP(J42,Data_Descriptions!$A:$B,2,0))</f>
        <v>-1</v>
      </c>
      <c r="M42" s="11">
        <v>-1</v>
      </c>
      <c r="N42" s="11"/>
    </row>
    <row r="43" spans="1:14" x14ac:dyDescent="0.2">
      <c r="A43" s="11"/>
      <c r="B43" s="11"/>
      <c r="C43" s="11"/>
      <c r="D43" s="11">
        <v>-1</v>
      </c>
      <c r="E43" s="201"/>
      <c r="F43" s="255">
        <f>IF(D43=-1,-1,VLOOKUP(D43,Data_Descriptions!$A:$B,2,0))</f>
        <v>-1</v>
      </c>
      <c r="G43" s="11">
        <v>-1</v>
      </c>
      <c r="H43" s="11"/>
      <c r="I43" s="255">
        <f>IF(G43=-1,-1,VLOOKUP(G43,Data_Descriptions!$A:$B,2,0))</f>
        <v>-1</v>
      </c>
      <c r="J43" s="11">
        <v>-1</v>
      </c>
      <c r="K43" s="11"/>
      <c r="L43" s="255">
        <f>IF(J43=-1,-1,VLOOKUP(J43,Data_Descriptions!$A:$B,2,0))</f>
        <v>-1</v>
      </c>
      <c r="M43" s="11">
        <v>-1</v>
      </c>
      <c r="N43" s="11"/>
    </row>
    <row r="44" spans="1:14" x14ac:dyDescent="0.2">
      <c r="A44" s="11"/>
      <c r="B44" s="11"/>
      <c r="C44" s="11"/>
      <c r="D44" s="11">
        <v>-1</v>
      </c>
      <c r="E44" s="201"/>
      <c r="F44" s="255">
        <f>IF(D44=-1,-1,VLOOKUP(D44,Data_Descriptions!$A:$B,2,0))</f>
        <v>-1</v>
      </c>
      <c r="G44" s="11">
        <v>-1</v>
      </c>
      <c r="H44" s="11"/>
      <c r="I44" s="255">
        <f>IF(G44=-1,-1,VLOOKUP(G44,Data_Descriptions!$A:$B,2,0))</f>
        <v>-1</v>
      </c>
      <c r="J44" s="11">
        <v>-1</v>
      </c>
      <c r="K44" s="11"/>
      <c r="L44" s="255">
        <f>IF(J44=-1,-1,VLOOKUP(J44,Data_Descriptions!$A:$B,2,0))</f>
        <v>-1</v>
      </c>
      <c r="M44" s="11">
        <v>-1</v>
      </c>
      <c r="N44" s="11"/>
    </row>
    <row r="45" spans="1:14" x14ac:dyDescent="0.2">
      <c r="A45" s="11"/>
      <c r="B45" s="11"/>
      <c r="C45" s="11"/>
      <c r="D45" s="11">
        <v>-1</v>
      </c>
      <c r="E45" s="201"/>
      <c r="F45" s="255">
        <f>IF(D45=-1,-1,VLOOKUP(D45,Data_Descriptions!$A:$B,2,0))</f>
        <v>-1</v>
      </c>
      <c r="G45" s="11">
        <v>-1</v>
      </c>
      <c r="H45" s="11"/>
      <c r="I45" s="255">
        <f>IF(G45=-1,-1,VLOOKUP(G45,Data_Descriptions!$A:$B,2,0))</f>
        <v>-1</v>
      </c>
      <c r="J45" s="11">
        <v>-1</v>
      </c>
      <c r="K45" s="11"/>
      <c r="L45" s="255">
        <f>IF(J45=-1,-1,VLOOKUP(J45,Data_Descriptions!$A:$B,2,0))</f>
        <v>-1</v>
      </c>
      <c r="M45" s="11">
        <v>-1</v>
      </c>
      <c r="N45" s="11"/>
    </row>
    <row r="46" spans="1:14" x14ac:dyDescent="0.2">
      <c r="A46" s="11"/>
      <c r="B46" s="11"/>
      <c r="C46" s="11"/>
      <c r="D46" s="11">
        <v>-1</v>
      </c>
      <c r="E46" s="201"/>
      <c r="F46" s="255">
        <f>IF(D46=-1,-1,VLOOKUP(D46,Data_Descriptions!$A:$B,2,0))</f>
        <v>-1</v>
      </c>
      <c r="G46" s="11">
        <v>-1</v>
      </c>
      <c r="H46" s="11"/>
      <c r="I46" s="255">
        <f>IF(G46=-1,-1,VLOOKUP(G46,Data_Descriptions!$A:$B,2,0))</f>
        <v>-1</v>
      </c>
      <c r="J46" s="11">
        <v>-1</v>
      </c>
      <c r="K46" s="11"/>
      <c r="L46" s="255">
        <f>IF(J46=-1,-1,VLOOKUP(J46,Data_Descriptions!$A:$B,2,0))</f>
        <v>-1</v>
      </c>
      <c r="M46" s="11">
        <v>-1</v>
      </c>
      <c r="N46" s="11"/>
    </row>
    <row r="47" spans="1:14" x14ac:dyDescent="0.2">
      <c r="A47" s="11"/>
      <c r="B47" s="11"/>
      <c r="C47" s="11"/>
      <c r="D47" s="11">
        <v>-1</v>
      </c>
      <c r="E47" s="201"/>
      <c r="F47" s="255">
        <f>IF(D47=-1,-1,VLOOKUP(D47,Data_Descriptions!$A:$B,2,0))</f>
        <v>-1</v>
      </c>
      <c r="G47" s="11">
        <v>-1</v>
      </c>
      <c r="H47" s="11"/>
      <c r="I47" s="255">
        <f>IF(G47=-1,-1,VLOOKUP(G47,Data_Descriptions!$A:$B,2,0))</f>
        <v>-1</v>
      </c>
      <c r="J47" s="11">
        <v>-1</v>
      </c>
      <c r="K47" s="11"/>
      <c r="L47" s="255">
        <f>IF(J47=-1,-1,VLOOKUP(J47,Data_Descriptions!$A:$B,2,0))</f>
        <v>-1</v>
      </c>
      <c r="M47" s="11">
        <v>-1</v>
      </c>
      <c r="N47" s="11"/>
    </row>
    <row r="48" spans="1:14" x14ac:dyDescent="0.2">
      <c r="A48" s="11"/>
      <c r="B48" s="11"/>
      <c r="C48" s="11"/>
      <c r="D48" s="11">
        <v>-1</v>
      </c>
      <c r="E48" s="201"/>
      <c r="F48" s="255">
        <f>IF(D48=-1,-1,VLOOKUP(D48,Data_Descriptions!$A:$B,2,0))</f>
        <v>-1</v>
      </c>
      <c r="G48" s="11">
        <v>-1</v>
      </c>
      <c r="H48" s="11"/>
      <c r="I48" s="255">
        <f>IF(G48=-1,-1,VLOOKUP(G48,Data_Descriptions!$A:$B,2,0))</f>
        <v>-1</v>
      </c>
      <c r="J48" s="11">
        <v>-1</v>
      </c>
      <c r="K48" s="11"/>
      <c r="L48" s="255">
        <f>IF(J48=-1,-1,VLOOKUP(J48,Data_Descriptions!$A:$B,2,0))</f>
        <v>-1</v>
      </c>
      <c r="M48" s="11">
        <v>-1</v>
      </c>
      <c r="N48" s="11"/>
    </row>
    <row r="49" spans="1:14" x14ac:dyDescent="0.2">
      <c r="A49" s="11"/>
      <c r="B49" s="11"/>
      <c r="C49" s="11"/>
      <c r="D49" s="11">
        <v>-1</v>
      </c>
      <c r="E49" s="201"/>
      <c r="F49" s="255">
        <f>IF(D49=-1,-1,VLOOKUP(D49,Data_Descriptions!$A:$B,2,0))</f>
        <v>-1</v>
      </c>
      <c r="G49" s="11">
        <v>-1</v>
      </c>
      <c r="H49" s="11"/>
      <c r="I49" s="255">
        <f>IF(G49=-1,-1,VLOOKUP(G49,Data_Descriptions!$A:$B,2,0))</f>
        <v>-1</v>
      </c>
      <c r="J49" s="11">
        <v>-1</v>
      </c>
      <c r="K49" s="11"/>
      <c r="L49" s="255">
        <f>IF(J49=-1,-1,VLOOKUP(J49,Data_Descriptions!$A:$B,2,0))</f>
        <v>-1</v>
      </c>
      <c r="M49" s="11">
        <v>-1</v>
      </c>
      <c r="N49" s="11"/>
    </row>
    <row r="50" spans="1:14" x14ac:dyDescent="0.2">
      <c r="A50" s="11"/>
      <c r="B50" s="11"/>
      <c r="C50" s="11"/>
      <c r="D50" s="11">
        <v>-1</v>
      </c>
      <c r="E50" s="201"/>
      <c r="F50" s="255">
        <f>IF(D50=-1,-1,VLOOKUP(D50,Data_Descriptions!$A:$B,2,0))</f>
        <v>-1</v>
      </c>
      <c r="G50" s="11">
        <v>-1</v>
      </c>
      <c r="H50" s="11"/>
      <c r="I50" s="255">
        <f>IF(G50=-1,-1,VLOOKUP(G50,Data_Descriptions!$A:$B,2,0))</f>
        <v>-1</v>
      </c>
      <c r="J50" s="11">
        <v>-1</v>
      </c>
      <c r="K50" s="11"/>
      <c r="L50" s="255">
        <f>IF(J50=-1,-1,VLOOKUP(J50,Data_Descriptions!$A:$B,2,0))</f>
        <v>-1</v>
      </c>
      <c r="M50" s="11">
        <v>-1</v>
      </c>
      <c r="N50" s="11"/>
    </row>
    <row r="51" spans="1:14" x14ac:dyDescent="0.2">
      <c r="A51" s="11"/>
      <c r="B51" s="11"/>
      <c r="C51" s="11"/>
      <c r="D51" s="11">
        <v>-1</v>
      </c>
      <c r="E51" s="201"/>
      <c r="F51" s="255">
        <f>IF(D51=-1,-1,VLOOKUP(D51,Data_Descriptions!$A:$B,2,0))</f>
        <v>-1</v>
      </c>
      <c r="G51" s="11">
        <v>-1</v>
      </c>
      <c r="H51" s="11"/>
      <c r="I51" s="255">
        <f>IF(G51=-1,-1,VLOOKUP(G51,Data_Descriptions!$A:$B,2,0))</f>
        <v>-1</v>
      </c>
      <c r="J51" s="11">
        <v>-1</v>
      </c>
      <c r="K51" s="11"/>
      <c r="L51" s="255">
        <f>IF(J51=-1,-1,VLOOKUP(J51,Data_Descriptions!$A:$B,2,0))</f>
        <v>-1</v>
      </c>
      <c r="M51" s="11">
        <v>-1</v>
      </c>
      <c r="N51" s="11"/>
    </row>
    <row r="52" spans="1:14" x14ac:dyDescent="0.2">
      <c r="A52" s="11"/>
      <c r="B52" s="11"/>
      <c r="C52" s="11"/>
      <c r="D52" s="11">
        <v>-1</v>
      </c>
      <c r="E52" s="201"/>
      <c r="F52" s="255">
        <f>IF(D52=-1,-1,VLOOKUP(D52,Data_Descriptions!$A:$B,2,0))</f>
        <v>-1</v>
      </c>
      <c r="G52" s="11">
        <v>-1</v>
      </c>
      <c r="H52" s="11"/>
      <c r="I52" s="255">
        <f>IF(G52=-1,-1,VLOOKUP(G52,Data_Descriptions!$A:$B,2,0))</f>
        <v>-1</v>
      </c>
      <c r="J52" s="11">
        <v>-1</v>
      </c>
      <c r="K52" s="11"/>
      <c r="L52" s="255">
        <f>IF(J52=-1,-1,VLOOKUP(J52,Data_Descriptions!$A:$B,2,0))</f>
        <v>-1</v>
      </c>
      <c r="M52" s="11">
        <v>-1</v>
      </c>
      <c r="N52" s="11"/>
    </row>
    <row r="53" spans="1:14" x14ac:dyDescent="0.2">
      <c r="A53" s="11"/>
      <c r="B53" s="11"/>
      <c r="C53" s="11"/>
      <c r="D53" s="11">
        <v>-1</v>
      </c>
      <c r="E53" s="201"/>
      <c r="F53" s="255">
        <f>IF(D53=-1,-1,VLOOKUP(D53,Data_Descriptions!$A:$B,2,0))</f>
        <v>-1</v>
      </c>
      <c r="G53" s="11">
        <v>-1</v>
      </c>
      <c r="H53" s="11"/>
      <c r="I53" s="255">
        <f>IF(G53=-1,-1,VLOOKUP(G53,Data_Descriptions!$A:$B,2,0))</f>
        <v>-1</v>
      </c>
      <c r="J53" s="11">
        <v>-1</v>
      </c>
      <c r="K53" s="11"/>
      <c r="L53" s="255">
        <f>IF(J53=-1,-1,VLOOKUP(J53,Data_Descriptions!$A:$B,2,0))</f>
        <v>-1</v>
      </c>
      <c r="M53" s="11">
        <v>-1</v>
      </c>
      <c r="N53" s="11"/>
    </row>
    <row r="54" spans="1:14" x14ac:dyDescent="0.2">
      <c r="A54" s="11"/>
      <c r="B54" s="11"/>
      <c r="C54" s="11"/>
      <c r="D54" s="11">
        <v>-1</v>
      </c>
      <c r="E54" s="201"/>
      <c r="F54" s="255">
        <f>IF(D54=-1,-1,VLOOKUP(D54,Data_Descriptions!$A:$B,2,0))</f>
        <v>-1</v>
      </c>
      <c r="G54" s="11">
        <v>-1</v>
      </c>
      <c r="H54" s="11"/>
      <c r="I54" s="255">
        <f>IF(G54=-1,-1,VLOOKUP(G54,Data_Descriptions!$A:$B,2,0))</f>
        <v>-1</v>
      </c>
      <c r="J54" s="11">
        <v>-1</v>
      </c>
      <c r="K54" s="11"/>
      <c r="L54" s="255">
        <f>IF(J54=-1,-1,VLOOKUP(J54,Data_Descriptions!$A:$B,2,0))</f>
        <v>-1</v>
      </c>
      <c r="M54" s="11">
        <v>-1</v>
      </c>
      <c r="N54" s="11"/>
    </row>
    <row r="55" spans="1:14" x14ac:dyDescent="0.2">
      <c r="A55" s="11"/>
      <c r="B55" s="11"/>
      <c r="C55" s="11"/>
      <c r="D55" s="11">
        <v>-1</v>
      </c>
      <c r="E55" s="201"/>
      <c r="F55" s="255">
        <f>IF(D55=-1,-1,VLOOKUP(D55,Data_Descriptions!$A:$B,2,0))</f>
        <v>-1</v>
      </c>
      <c r="G55" s="11">
        <v>-1</v>
      </c>
      <c r="H55" s="11"/>
      <c r="I55" s="255">
        <f>IF(G55=-1,-1,VLOOKUP(G55,Data_Descriptions!$A:$B,2,0))</f>
        <v>-1</v>
      </c>
      <c r="J55" s="11">
        <v>-1</v>
      </c>
      <c r="K55" s="11"/>
      <c r="L55" s="255">
        <f>IF(J55=-1,-1,VLOOKUP(J55,Data_Descriptions!$A:$B,2,0))</f>
        <v>-1</v>
      </c>
      <c r="M55" s="11">
        <v>-1</v>
      </c>
      <c r="N55" s="11"/>
    </row>
    <row r="56" spans="1:14" x14ac:dyDescent="0.2">
      <c r="A56" s="11"/>
      <c r="B56" s="11"/>
      <c r="C56" s="11"/>
      <c r="D56" s="11">
        <v>-1</v>
      </c>
      <c r="E56" s="201"/>
      <c r="F56" s="255">
        <f>IF(D56=-1,-1,VLOOKUP(D56,Data_Descriptions!$A:$B,2,0))</f>
        <v>-1</v>
      </c>
      <c r="G56" s="11">
        <v>-1</v>
      </c>
      <c r="H56" s="11"/>
      <c r="I56" s="255">
        <f>IF(G56=-1,-1,VLOOKUP(G56,Data_Descriptions!$A:$B,2,0))</f>
        <v>-1</v>
      </c>
      <c r="J56" s="11">
        <v>-1</v>
      </c>
      <c r="K56" s="11"/>
      <c r="L56" s="255">
        <f>IF(J56=-1,-1,VLOOKUP(J56,Data_Descriptions!$A:$B,2,0))</f>
        <v>-1</v>
      </c>
      <c r="M56" s="11">
        <v>-1</v>
      </c>
      <c r="N56" s="11"/>
    </row>
    <row r="57" spans="1:14" x14ac:dyDescent="0.2">
      <c r="A57" s="11"/>
      <c r="B57" s="11"/>
      <c r="C57" s="11"/>
      <c r="D57" s="11">
        <v>-1</v>
      </c>
      <c r="E57" s="201"/>
      <c r="F57" s="255">
        <f>IF(D57=-1,-1,VLOOKUP(D57,Data_Descriptions!$A:$B,2,0))</f>
        <v>-1</v>
      </c>
      <c r="G57" s="11">
        <v>-1</v>
      </c>
      <c r="H57" s="11"/>
      <c r="I57" s="255">
        <f>IF(G57=-1,-1,VLOOKUP(G57,Data_Descriptions!$A:$B,2,0))</f>
        <v>-1</v>
      </c>
      <c r="J57" s="11">
        <v>-1</v>
      </c>
      <c r="K57" s="11"/>
      <c r="L57" s="255">
        <f>IF(J57=-1,-1,VLOOKUP(J57,Data_Descriptions!$A:$B,2,0))</f>
        <v>-1</v>
      </c>
      <c r="M57" s="11">
        <v>-1</v>
      </c>
      <c r="N57" s="11"/>
    </row>
    <row r="58" spans="1:14" x14ac:dyDescent="0.2">
      <c r="A58" s="11"/>
      <c r="B58" s="11"/>
      <c r="C58" s="11"/>
      <c r="D58" s="11">
        <v>-1</v>
      </c>
      <c r="E58" s="201"/>
      <c r="F58" s="255">
        <f>IF(D58=-1,-1,VLOOKUP(D58,Data_Descriptions!$A:$B,2,0))</f>
        <v>-1</v>
      </c>
      <c r="G58" s="11">
        <v>-1</v>
      </c>
      <c r="H58" s="11"/>
      <c r="I58" s="255">
        <f>IF(G58=-1,-1,VLOOKUP(G58,Data_Descriptions!$A:$B,2,0))</f>
        <v>-1</v>
      </c>
      <c r="J58" s="11">
        <v>-1</v>
      </c>
      <c r="K58" s="11"/>
      <c r="L58" s="255">
        <f>IF(J58=-1,-1,VLOOKUP(J58,Data_Descriptions!$A:$B,2,0))</f>
        <v>-1</v>
      </c>
      <c r="M58" s="11">
        <v>-1</v>
      </c>
      <c r="N58" s="11"/>
    </row>
    <row r="59" spans="1:14" x14ac:dyDescent="0.2">
      <c r="A59" s="11"/>
      <c r="B59" s="11"/>
      <c r="C59" s="11"/>
      <c r="D59" s="11">
        <v>-1</v>
      </c>
      <c r="E59" s="201"/>
      <c r="F59" s="255">
        <f>IF(D59=-1,-1,VLOOKUP(D59,Data_Descriptions!$A:$B,2,0))</f>
        <v>-1</v>
      </c>
      <c r="G59" s="11">
        <v>-1</v>
      </c>
      <c r="H59" s="11"/>
      <c r="I59" s="255">
        <f>IF(G59=-1,-1,VLOOKUP(G59,Data_Descriptions!$A:$B,2,0))</f>
        <v>-1</v>
      </c>
      <c r="J59" s="11">
        <v>-1</v>
      </c>
      <c r="K59" s="11"/>
      <c r="L59" s="255">
        <f>IF(J59=-1,-1,VLOOKUP(J59,Data_Descriptions!$A:$B,2,0))</f>
        <v>-1</v>
      </c>
      <c r="M59" s="11">
        <v>-1</v>
      </c>
      <c r="N59" s="11"/>
    </row>
    <row r="60" spans="1:14" x14ac:dyDescent="0.2">
      <c r="A60" s="11"/>
      <c r="B60" s="11"/>
      <c r="C60" s="11"/>
      <c r="D60" s="11">
        <v>-1</v>
      </c>
      <c r="E60" s="201"/>
      <c r="F60" s="255">
        <f>IF(D60=-1,-1,VLOOKUP(D60,Data_Descriptions!$A:$B,2,0))</f>
        <v>-1</v>
      </c>
      <c r="G60" s="11">
        <v>-1</v>
      </c>
      <c r="H60" s="11"/>
      <c r="I60" s="255">
        <f>IF(G60=-1,-1,VLOOKUP(G60,Data_Descriptions!$A:$B,2,0))</f>
        <v>-1</v>
      </c>
      <c r="J60" s="11">
        <v>-1</v>
      </c>
      <c r="K60" s="11"/>
      <c r="L60" s="255">
        <f>IF(J60=-1,-1,VLOOKUP(J60,Data_Descriptions!$A:$B,2,0))</f>
        <v>-1</v>
      </c>
      <c r="M60" s="11">
        <v>-1</v>
      </c>
      <c r="N60" s="11"/>
    </row>
    <row r="61" spans="1:14" x14ac:dyDescent="0.2">
      <c r="A61" s="11"/>
      <c r="B61" s="11"/>
      <c r="C61" s="11"/>
      <c r="D61" s="11">
        <v>-1</v>
      </c>
      <c r="E61" s="201"/>
      <c r="F61" s="255">
        <f>IF(D61=-1,-1,VLOOKUP(D61,Data_Descriptions!$A:$B,2,0))</f>
        <v>-1</v>
      </c>
      <c r="G61" s="11">
        <v>-1</v>
      </c>
      <c r="H61" s="11"/>
      <c r="I61" s="255">
        <f>IF(G61=-1,-1,VLOOKUP(G61,Data_Descriptions!$A:$B,2,0))</f>
        <v>-1</v>
      </c>
      <c r="J61" s="11">
        <v>-1</v>
      </c>
      <c r="K61" s="11"/>
      <c r="L61" s="255">
        <f>IF(J61=-1,-1,VLOOKUP(J61,Data_Descriptions!$A:$B,2,0))</f>
        <v>-1</v>
      </c>
      <c r="M61" s="11">
        <v>-1</v>
      </c>
      <c r="N61" s="11"/>
    </row>
    <row r="62" spans="1:14" x14ac:dyDescent="0.2">
      <c r="A62" s="11"/>
      <c r="B62" s="11"/>
      <c r="C62" s="11"/>
      <c r="D62" s="11">
        <v>-1</v>
      </c>
      <c r="E62" s="201"/>
      <c r="F62" s="255">
        <f>IF(D62=-1,-1,VLOOKUP(D62,Data_Descriptions!$A:$B,2,0))</f>
        <v>-1</v>
      </c>
      <c r="G62" s="11">
        <v>-1</v>
      </c>
      <c r="H62" s="11"/>
      <c r="I62" s="255">
        <f>IF(G62=-1,-1,VLOOKUP(G62,Data_Descriptions!$A:$B,2,0))</f>
        <v>-1</v>
      </c>
      <c r="J62" s="11">
        <v>-1</v>
      </c>
      <c r="K62" s="11"/>
      <c r="L62" s="255">
        <f>IF(J62=-1,-1,VLOOKUP(J62,Data_Descriptions!$A:$B,2,0))</f>
        <v>-1</v>
      </c>
      <c r="M62" s="11">
        <v>-1</v>
      </c>
      <c r="N62" s="11"/>
    </row>
    <row r="63" spans="1:14" x14ac:dyDescent="0.2">
      <c r="A63" s="11"/>
      <c r="B63" s="11"/>
      <c r="C63" s="11"/>
      <c r="D63" s="11">
        <v>-1</v>
      </c>
      <c r="E63" s="201"/>
      <c r="F63" s="255">
        <f>IF(D63=-1,-1,VLOOKUP(D63,Data_Descriptions!$A:$B,2,0))</f>
        <v>-1</v>
      </c>
      <c r="G63" s="11">
        <v>-1</v>
      </c>
      <c r="H63" s="11"/>
      <c r="I63" s="255">
        <f>IF(G63=-1,-1,VLOOKUP(G63,Data_Descriptions!$A:$B,2,0))</f>
        <v>-1</v>
      </c>
      <c r="J63" s="11">
        <v>-1</v>
      </c>
      <c r="K63" s="11"/>
      <c r="L63" s="255">
        <f>IF(J63=-1,-1,VLOOKUP(J63,Data_Descriptions!$A:$B,2,0))</f>
        <v>-1</v>
      </c>
      <c r="M63" s="11">
        <v>-1</v>
      </c>
      <c r="N63" s="11"/>
    </row>
    <row r="64" spans="1:14" x14ac:dyDescent="0.2">
      <c r="A64" s="11"/>
      <c r="B64" s="11"/>
      <c r="C64" s="11"/>
      <c r="D64" s="11">
        <v>-1</v>
      </c>
      <c r="E64" s="201"/>
      <c r="F64" s="255">
        <f>IF(D64=-1,-1,VLOOKUP(D64,Data_Descriptions!$A:$B,2,0))</f>
        <v>-1</v>
      </c>
      <c r="G64" s="11">
        <v>-1</v>
      </c>
      <c r="H64" s="11"/>
      <c r="I64" s="255">
        <f>IF(G64=-1,-1,VLOOKUP(G64,Data_Descriptions!$A:$B,2,0))</f>
        <v>-1</v>
      </c>
      <c r="J64" s="11">
        <v>-1</v>
      </c>
      <c r="K64" s="11"/>
      <c r="L64" s="255">
        <f>IF(J64=-1,-1,VLOOKUP(J64,Data_Descriptions!$A:$B,2,0))</f>
        <v>-1</v>
      </c>
      <c r="M64" s="11">
        <v>-1</v>
      </c>
      <c r="N64" s="11"/>
    </row>
    <row r="65" spans="1:14" x14ac:dyDescent="0.2">
      <c r="A65" s="11"/>
      <c r="B65" s="11"/>
      <c r="C65" s="11"/>
      <c r="D65" s="11">
        <v>-1</v>
      </c>
      <c r="E65" s="201"/>
      <c r="F65" s="255">
        <f>IF(D65=-1,-1,VLOOKUP(D65,Data_Descriptions!$A:$B,2,0))</f>
        <v>-1</v>
      </c>
      <c r="G65" s="11">
        <v>-1</v>
      </c>
      <c r="H65" s="11"/>
      <c r="I65" s="255">
        <f>IF(G65=-1,-1,VLOOKUP(G65,Data_Descriptions!$A:$B,2,0))</f>
        <v>-1</v>
      </c>
      <c r="J65" s="11">
        <v>-1</v>
      </c>
      <c r="K65" s="11"/>
      <c r="L65" s="255">
        <f>IF(J65=-1,-1,VLOOKUP(J65,Data_Descriptions!$A:$B,2,0))</f>
        <v>-1</v>
      </c>
      <c r="M65" s="11">
        <v>-1</v>
      </c>
      <c r="N65" s="11"/>
    </row>
    <row r="66" spans="1:14" x14ac:dyDescent="0.2">
      <c r="A66" s="11"/>
      <c r="B66" s="11"/>
      <c r="C66" s="11"/>
      <c r="D66" s="11">
        <v>-1</v>
      </c>
      <c r="E66" s="201"/>
      <c r="F66" s="255">
        <f>IF(D66=-1,-1,VLOOKUP(D66,Data_Descriptions!$A:$B,2,0))</f>
        <v>-1</v>
      </c>
      <c r="G66" s="11">
        <v>-1</v>
      </c>
      <c r="H66" s="11"/>
      <c r="I66" s="255">
        <f>IF(G66=-1,-1,VLOOKUP(G66,Data_Descriptions!$A:$B,2,0))</f>
        <v>-1</v>
      </c>
      <c r="J66" s="11">
        <v>-1</v>
      </c>
      <c r="K66" s="11"/>
      <c r="L66" s="255">
        <f>IF(J66=-1,-1,VLOOKUP(J66,Data_Descriptions!$A:$B,2,0))</f>
        <v>-1</v>
      </c>
      <c r="M66" s="11">
        <v>-1</v>
      </c>
      <c r="N66" s="11"/>
    </row>
    <row r="67" spans="1:14" x14ac:dyDescent="0.2">
      <c r="A67" s="11"/>
      <c r="B67" s="11"/>
      <c r="C67" s="11"/>
      <c r="D67" s="11">
        <v>-1</v>
      </c>
      <c r="E67" s="201"/>
      <c r="F67" s="255">
        <f>IF(D67=-1,-1,VLOOKUP(D67,Data_Descriptions!$A:$B,2,0))</f>
        <v>-1</v>
      </c>
      <c r="G67" s="11">
        <v>-1</v>
      </c>
      <c r="H67" s="11"/>
      <c r="I67" s="255">
        <f>IF(G67=-1,-1,VLOOKUP(G67,Data_Descriptions!$A:$B,2,0))</f>
        <v>-1</v>
      </c>
      <c r="J67" s="11">
        <v>-1</v>
      </c>
      <c r="K67" s="11"/>
      <c r="L67" s="255">
        <f>IF(J67=-1,-1,VLOOKUP(J67,Data_Descriptions!$A:$B,2,0))</f>
        <v>-1</v>
      </c>
      <c r="M67" s="11">
        <v>-1</v>
      </c>
      <c r="N67" s="11"/>
    </row>
    <row r="68" spans="1:14" x14ac:dyDescent="0.2">
      <c r="A68" s="11"/>
      <c r="B68" s="11"/>
      <c r="C68" s="11"/>
      <c r="D68" s="11">
        <v>-1</v>
      </c>
      <c r="E68" s="201"/>
      <c r="F68" s="255">
        <f>IF(D68=-1,-1,VLOOKUP(D68,Data_Descriptions!$A:$B,2,0))</f>
        <v>-1</v>
      </c>
      <c r="G68" s="11">
        <v>-1</v>
      </c>
      <c r="H68" s="11"/>
      <c r="I68" s="255">
        <f>IF(G68=-1,-1,VLOOKUP(G68,Data_Descriptions!$A:$B,2,0))</f>
        <v>-1</v>
      </c>
      <c r="J68" s="11">
        <v>-1</v>
      </c>
      <c r="K68" s="11"/>
      <c r="L68" s="255">
        <f>IF(J68=-1,-1,VLOOKUP(J68,Data_Descriptions!$A:$B,2,0))</f>
        <v>-1</v>
      </c>
      <c r="M68" s="11">
        <v>-1</v>
      </c>
      <c r="N68" s="11"/>
    </row>
    <row r="69" spans="1:14" x14ac:dyDescent="0.2">
      <c r="A69" s="11"/>
      <c r="B69" s="11"/>
      <c r="C69" s="11"/>
      <c r="D69" s="11">
        <v>-1</v>
      </c>
      <c r="E69" s="201"/>
      <c r="F69" s="255">
        <f>IF(D69=-1,-1,VLOOKUP(D69,Data_Descriptions!$A:$B,2,0))</f>
        <v>-1</v>
      </c>
      <c r="G69" s="11">
        <v>-1</v>
      </c>
      <c r="H69" s="11"/>
      <c r="I69" s="255">
        <f>IF(G69=-1,-1,VLOOKUP(G69,Data_Descriptions!$A:$B,2,0))</f>
        <v>-1</v>
      </c>
      <c r="J69" s="11">
        <v>-1</v>
      </c>
      <c r="K69" s="11"/>
      <c r="L69" s="255">
        <f>IF(J69=-1,-1,VLOOKUP(J69,Data_Descriptions!$A:$B,2,0))</f>
        <v>-1</v>
      </c>
      <c r="M69" s="11">
        <v>-1</v>
      </c>
      <c r="N69" s="11"/>
    </row>
    <row r="70" spans="1:14" x14ac:dyDescent="0.2">
      <c r="A70" s="11"/>
      <c r="B70" s="11"/>
      <c r="C70" s="11"/>
      <c r="D70" s="11">
        <v>-1</v>
      </c>
      <c r="E70" s="201"/>
      <c r="F70" s="255">
        <f>IF(D70=-1,-1,VLOOKUP(D70,Data_Descriptions!$A:$B,2,0))</f>
        <v>-1</v>
      </c>
      <c r="G70" s="11">
        <v>-1</v>
      </c>
      <c r="H70" s="11"/>
      <c r="I70" s="255">
        <f>IF(G70=-1,-1,VLOOKUP(G70,Data_Descriptions!$A:$B,2,0))</f>
        <v>-1</v>
      </c>
      <c r="J70" s="11">
        <v>-1</v>
      </c>
      <c r="K70" s="11"/>
      <c r="L70" s="255">
        <f>IF(J70=-1,-1,VLOOKUP(J70,Data_Descriptions!$A:$B,2,0))</f>
        <v>-1</v>
      </c>
      <c r="M70" s="11">
        <v>-1</v>
      </c>
      <c r="N70" s="11"/>
    </row>
    <row r="71" spans="1:14" x14ac:dyDescent="0.2">
      <c r="A71" s="11"/>
      <c r="B71" s="11"/>
      <c r="C71" s="11"/>
      <c r="D71" s="11">
        <v>-1</v>
      </c>
      <c r="E71" s="201"/>
      <c r="F71" s="255">
        <f>IF(D71=-1,-1,VLOOKUP(D71,Data_Descriptions!$A:$B,2,0))</f>
        <v>-1</v>
      </c>
      <c r="G71" s="11">
        <v>-1</v>
      </c>
      <c r="H71" s="11"/>
      <c r="I71" s="255">
        <f>IF(G71=-1,-1,VLOOKUP(G71,Data_Descriptions!$A:$B,2,0))</f>
        <v>-1</v>
      </c>
      <c r="J71" s="11">
        <v>-1</v>
      </c>
      <c r="K71" s="11"/>
      <c r="L71" s="255">
        <f>IF(J71=-1,-1,VLOOKUP(J71,Data_Descriptions!$A:$B,2,0))</f>
        <v>-1</v>
      </c>
      <c r="M71" s="11">
        <v>-1</v>
      </c>
      <c r="N71" s="11"/>
    </row>
    <row r="72" spans="1:14" x14ac:dyDescent="0.2">
      <c r="A72" s="11"/>
      <c r="B72" s="11"/>
      <c r="C72" s="11"/>
      <c r="D72" s="11">
        <v>-1</v>
      </c>
      <c r="E72" s="201"/>
      <c r="F72" s="255">
        <f>IF(D72=-1,-1,VLOOKUP(D72,Data_Descriptions!$A:$B,2,0))</f>
        <v>-1</v>
      </c>
      <c r="G72" s="11">
        <v>-1</v>
      </c>
      <c r="H72" s="11"/>
      <c r="I72" s="255">
        <f>IF(G72=-1,-1,VLOOKUP(G72,Data_Descriptions!$A:$B,2,0))</f>
        <v>-1</v>
      </c>
      <c r="J72" s="11">
        <v>-1</v>
      </c>
      <c r="K72" s="11"/>
      <c r="L72" s="255">
        <f>IF(J72=-1,-1,VLOOKUP(J72,Data_Descriptions!$A:$B,2,0))</f>
        <v>-1</v>
      </c>
      <c r="M72" s="11">
        <v>-1</v>
      </c>
      <c r="N72" s="11"/>
    </row>
    <row r="73" spans="1:14" x14ac:dyDescent="0.2">
      <c r="A73" s="11"/>
      <c r="B73" s="11"/>
      <c r="C73" s="11"/>
      <c r="D73" s="11">
        <v>-1</v>
      </c>
      <c r="E73" s="201"/>
      <c r="F73" s="255">
        <f>IF(D73=-1,-1,VLOOKUP(D73,Data_Descriptions!$A:$B,2,0))</f>
        <v>-1</v>
      </c>
      <c r="G73" s="11">
        <v>-1</v>
      </c>
      <c r="H73" s="11"/>
      <c r="I73" s="255">
        <f>IF(G73=-1,-1,VLOOKUP(G73,Data_Descriptions!$A:$B,2,0))</f>
        <v>-1</v>
      </c>
      <c r="J73" s="11">
        <v>-1</v>
      </c>
      <c r="K73" s="11"/>
      <c r="L73" s="255">
        <f>IF(J73=-1,-1,VLOOKUP(J73,Data_Descriptions!$A:$B,2,0))</f>
        <v>-1</v>
      </c>
      <c r="M73" s="11">
        <v>-1</v>
      </c>
      <c r="N73" s="11"/>
    </row>
    <row r="74" spans="1:14" x14ac:dyDescent="0.2">
      <c r="A74" s="11"/>
      <c r="B74" s="11"/>
      <c r="C74" s="11"/>
      <c r="D74" s="11">
        <v>-1</v>
      </c>
      <c r="E74" s="201"/>
      <c r="F74" s="255">
        <f>IF(D74=-1,-1,VLOOKUP(D74,Data_Descriptions!$A:$B,2,0))</f>
        <v>-1</v>
      </c>
      <c r="G74" s="11">
        <v>-1</v>
      </c>
      <c r="H74" s="11"/>
      <c r="I74" s="255">
        <f>IF(G74=-1,-1,VLOOKUP(G74,Data_Descriptions!$A:$B,2,0))</f>
        <v>-1</v>
      </c>
      <c r="J74" s="11">
        <v>-1</v>
      </c>
      <c r="K74" s="11"/>
      <c r="L74" s="255">
        <f>IF(J74=-1,-1,VLOOKUP(J74,Data_Descriptions!$A:$B,2,0))</f>
        <v>-1</v>
      </c>
      <c r="M74" s="11">
        <v>-1</v>
      </c>
      <c r="N74" s="11"/>
    </row>
    <row r="75" spans="1:14" x14ac:dyDescent="0.2">
      <c r="A75" s="11"/>
      <c r="B75" s="11"/>
      <c r="C75" s="11"/>
      <c r="D75" s="11">
        <v>-1</v>
      </c>
      <c r="E75" s="201"/>
      <c r="F75" s="255">
        <f>IF(D75=-1,-1,VLOOKUP(D75,Data_Descriptions!$A:$B,2,0))</f>
        <v>-1</v>
      </c>
      <c r="G75" s="11">
        <v>-1</v>
      </c>
      <c r="H75" s="11"/>
      <c r="I75" s="255">
        <f>IF(G75=-1,-1,VLOOKUP(G75,Data_Descriptions!$A:$B,2,0))</f>
        <v>-1</v>
      </c>
      <c r="J75" s="11">
        <v>-1</v>
      </c>
      <c r="K75" s="11"/>
      <c r="L75" s="255">
        <f>IF(J75=-1,-1,VLOOKUP(J75,Data_Descriptions!$A:$B,2,0))</f>
        <v>-1</v>
      </c>
      <c r="M75" s="11">
        <v>-1</v>
      </c>
      <c r="N75" s="11"/>
    </row>
    <row r="76" spans="1:14" x14ac:dyDescent="0.2">
      <c r="A76" s="11"/>
      <c r="B76" s="11"/>
      <c r="C76" s="11"/>
      <c r="D76" s="11">
        <v>-1</v>
      </c>
      <c r="E76" s="201"/>
      <c r="F76" s="255">
        <f>IF(D76=-1,-1,VLOOKUP(D76,Data_Descriptions!$A:$B,2,0))</f>
        <v>-1</v>
      </c>
      <c r="G76" s="11">
        <v>-1</v>
      </c>
      <c r="H76" s="11"/>
      <c r="I76" s="255">
        <f>IF(G76=-1,-1,VLOOKUP(G76,Data_Descriptions!$A:$B,2,0))</f>
        <v>-1</v>
      </c>
      <c r="J76" s="11">
        <v>-1</v>
      </c>
      <c r="K76" s="11"/>
      <c r="L76" s="255">
        <f>IF(J76=-1,-1,VLOOKUP(J76,Data_Descriptions!$A:$B,2,0))</f>
        <v>-1</v>
      </c>
      <c r="M76" s="11">
        <v>-1</v>
      </c>
      <c r="N76" s="11"/>
    </row>
    <row r="77" spans="1:14" x14ac:dyDescent="0.2">
      <c r="A77" s="11"/>
      <c r="B77" s="11"/>
      <c r="C77" s="11"/>
      <c r="D77" s="11">
        <v>-1</v>
      </c>
      <c r="E77" s="201"/>
      <c r="F77" s="255">
        <f>IF(D77=-1,-1,VLOOKUP(D77,Data_Descriptions!$A:$B,2,0))</f>
        <v>-1</v>
      </c>
      <c r="G77" s="11">
        <v>-1</v>
      </c>
      <c r="H77" s="11"/>
      <c r="I77" s="255">
        <f>IF(G77=-1,-1,VLOOKUP(G77,Data_Descriptions!$A:$B,2,0))</f>
        <v>-1</v>
      </c>
      <c r="J77" s="11">
        <v>-1</v>
      </c>
      <c r="K77" s="11"/>
      <c r="L77" s="255">
        <f>IF(J77=-1,-1,VLOOKUP(J77,Data_Descriptions!$A:$B,2,0))</f>
        <v>-1</v>
      </c>
      <c r="M77" s="11">
        <v>-1</v>
      </c>
      <c r="N77" s="11"/>
    </row>
    <row r="78" spans="1:14" x14ac:dyDescent="0.2">
      <c r="A78" s="11"/>
      <c r="B78" s="11"/>
      <c r="C78" s="11"/>
      <c r="D78" s="11">
        <v>-1</v>
      </c>
      <c r="E78" s="201"/>
      <c r="F78" s="255">
        <f>IF(D78=-1,-1,VLOOKUP(D78,Data_Descriptions!$A:$B,2,0))</f>
        <v>-1</v>
      </c>
      <c r="G78" s="11">
        <v>-1</v>
      </c>
      <c r="H78" s="11"/>
      <c r="I78" s="255">
        <f>IF(G78=-1,-1,VLOOKUP(G78,Data_Descriptions!$A:$B,2,0))</f>
        <v>-1</v>
      </c>
      <c r="J78" s="11">
        <v>-1</v>
      </c>
      <c r="K78" s="11"/>
      <c r="L78" s="255">
        <f>IF(J78=-1,-1,VLOOKUP(J78,Data_Descriptions!$A:$B,2,0))</f>
        <v>-1</v>
      </c>
      <c r="M78" s="11">
        <v>-1</v>
      </c>
      <c r="N78" s="11"/>
    </row>
    <row r="79" spans="1:14" x14ac:dyDescent="0.2">
      <c r="A79" s="11"/>
      <c r="B79" s="11"/>
      <c r="C79" s="11"/>
      <c r="D79" s="11">
        <v>-1</v>
      </c>
      <c r="E79" s="201"/>
      <c r="F79" s="255">
        <f>IF(D79=-1,-1,VLOOKUP(D79,Data_Descriptions!$A:$B,2,0))</f>
        <v>-1</v>
      </c>
      <c r="G79" s="11">
        <v>-1</v>
      </c>
      <c r="H79" s="11"/>
      <c r="I79" s="255">
        <f>IF(G79=-1,-1,VLOOKUP(G79,Data_Descriptions!$A:$B,2,0))</f>
        <v>-1</v>
      </c>
      <c r="J79" s="11">
        <v>-1</v>
      </c>
      <c r="K79" s="11"/>
      <c r="L79" s="255">
        <f>IF(J79=-1,-1,VLOOKUP(J79,Data_Descriptions!$A:$B,2,0))</f>
        <v>-1</v>
      </c>
      <c r="M79" s="11">
        <v>-1</v>
      </c>
      <c r="N79" s="11"/>
    </row>
    <row r="80" spans="1:14" x14ac:dyDescent="0.2">
      <c r="A80" s="11"/>
      <c r="B80" s="11"/>
      <c r="C80" s="11"/>
      <c r="D80" s="11">
        <v>-1</v>
      </c>
      <c r="E80" s="201"/>
      <c r="F80" s="255">
        <f>IF(D80=-1,-1,VLOOKUP(D80,Data_Descriptions!$A:$B,2,0))</f>
        <v>-1</v>
      </c>
      <c r="G80" s="11">
        <v>-1</v>
      </c>
      <c r="H80" s="11"/>
      <c r="I80" s="255">
        <f>IF(G80=-1,-1,VLOOKUP(G80,Data_Descriptions!$A:$B,2,0))</f>
        <v>-1</v>
      </c>
      <c r="J80" s="11">
        <v>-1</v>
      </c>
      <c r="K80" s="11"/>
      <c r="L80" s="255">
        <f>IF(J80=-1,-1,VLOOKUP(J80,Data_Descriptions!$A:$B,2,0))</f>
        <v>-1</v>
      </c>
      <c r="M80" s="11">
        <v>-1</v>
      </c>
      <c r="N80" s="11"/>
    </row>
    <row r="81" spans="1:14" x14ac:dyDescent="0.2">
      <c r="A81" s="11"/>
      <c r="B81" s="11"/>
      <c r="C81" s="11"/>
      <c r="D81" s="11">
        <v>-1</v>
      </c>
      <c r="E81" s="201"/>
      <c r="F81" s="255">
        <f>IF(D81=-1,-1,VLOOKUP(D81,Data_Descriptions!$A:$B,2,0))</f>
        <v>-1</v>
      </c>
      <c r="G81" s="11">
        <v>-1</v>
      </c>
      <c r="H81" s="11"/>
      <c r="I81" s="255">
        <f>IF(G81=-1,-1,VLOOKUP(G81,Data_Descriptions!$A:$B,2,0))</f>
        <v>-1</v>
      </c>
      <c r="J81" s="11">
        <v>-1</v>
      </c>
      <c r="K81" s="11"/>
      <c r="L81" s="255">
        <f>IF(J81=-1,-1,VLOOKUP(J81,Data_Descriptions!$A:$B,2,0))</f>
        <v>-1</v>
      </c>
      <c r="M81" s="11">
        <v>-1</v>
      </c>
      <c r="N81" s="11"/>
    </row>
    <row r="82" spans="1:14" x14ac:dyDescent="0.2">
      <c r="A82" s="11"/>
      <c r="B82" s="11"/>
      <c r="C82" s="11"/>
      <c r="D82" s="11">
        <v>-1</v>
      </c>
      <c r="E82" s="201"/>
      <c r="F82" s="255">
        <f>IF(D82=-1,-1,VLOOKUP(D82,Data_Descriptions!$A:$B,2,0))</f>
        <v>-1</v>
      </c>
      <c r="G82" s="11">
        <v>-1</v>
      </c>
      <c r="H82" s="11"/>
      <c r="I82" s="255">
        <f>IF(G82=-1,-1,VLOOKUP(G82,Data_Descriptions!$A:$B,2,0))</f>
        <v>-1</v>
      </c>
      <c r="J82" s="11">
        <v>-1</v>
      </c>
      <c r="K82" s="11"/>
      <c r="L82" s="255">
        <f>IF(J82=-1,-1,VLOOKUP(J82,Data_Descriptions!$A:$B,2,0))</f>
        <v>-1</v>
      </c>
      <c r="M82" s="11">
        <v>-1</v>
      </c>
      <c r="N82" s="11"/>
    </row>
    <row r="83" spans="1:14" x14ac:dyDescent="0.2">
      <c r="A83" s="11"/>
      <c r="B83" s="11"/>
      <c r="C83" s="11"/>
      <c r="D83" s="11">
        <v>-1</v>
      </c>
      <c r="E83" s="201"/>
      <c r="F83" s="255">
        <f>IF(D83=-1,-1,VLOOKUP(D83,Data_Descriptions!$A:$B,2,0))</f>
        <v>-1</v>
      </c>
      <c r="G83" s="11">
        <v>-1</v>
      </c>
      <c r="H83" s="11"/>
      <c r="I83" s="255">
        <f>IF(G83=-1,-1,VLOOKUP(G83,Data_Descriptions!$A:$B,2,0))</f>
        <v>-1</v>
      </c>
      <c r="J83" s="11">
        <v>-1</v>
      </c>
      <c r="K83" s="11"/>
      <c r="L83" s="255">
        <f>IF(J83=-1,-1,VLOOKUP(J83,Data_Descriptions!$A:$B,2,0))</f>
        <v>-1</v>
      </c>
      <c r="M83" s="11">
        <v>-1</v>
      </c>
      <c r="N83" s="11"/>
    </row>
    <row r="84" spans="1:14" x14ac:dyDescent="0.2">
      <c r="A84" s="11"/>
      <c r="B84" s="11"/>
      <c r="C84" s="11"/>
      <c r="D84" s="11">
        <v>-1</v>
      </c>
      <c r="E84" s="201"/>
      <c r="F84" s="255">
        <f>IF(D84=-1,-1,VLOOKUP(D84,Data_Descriptions!$A:$B,2,0))</f>
        <v>-1</v>
      </c>
      <c r="G84" s="11">
        <v>-1</v>
      </c>
      <c r="H84" s="11"/>
      <c r="I84" s="255">
        <f>IF(G84=-1,-1,VLOOKUP(G84,Data_Descriptions!$A:$B,2,0))</f>
        <v>-1</v>
      </c>
      <c r="J84" s="11">
        <v>-1</v>
      </c>
      <c r="K84" s="11"/>
      <c r="L84" s="255">
        <f>IF(J84=-1,-1,VLOOKUP(J84,Data_Descriptions!$A:$B,2,0))</f>
        <v>-1</v>
      </c>
      <c r="M84" s="11">
        <v>-1</v>
      </c>
      <c r="N84" s="11"/>
    </row>
    <row r="85" spans="1:14" x14ac:dyDescent="0.2">
      <c r="A85" s="11"/>
      <c r="B85" s="11"/>
      <c r="C85" s="11"/>
      <c r="D85" s="11">
        <v>-1</v>
      </c>
      <c r="E85" s="201"/>
      <c r="F85" s="255">
        <f>IF(D85=-1,-1,VLOOKUP(D85,Data_Descriptions!$A:$B,2,0))</f>
        <v>-1</v>
      </c>
      <c r="G85" s="11">
        <v>-1</v>
      </c>
      <c r="H85" s="11"/>
      <c r="I85" s="255">
        <f>IF(G85=-1,-1,VLOOKUP(G85,Data_Descriptions!$A:$B,2,0))</f>
        <v>-1</v>
      </c>
      <c r="J85" s="11">
        <v>-1</v>
      </c>
      <c r="K85" s="11"/>
      <c r="L85" s="255">
        <f>IF(J85=-1,-1,VLOOKUP(J85,Data_Descriptions!$A:$B,2,0))</f>
        <v>-1</v>
      </c>
      <c r="M85" s="11">
        <v>-1</v>
      </c>
      <c r="N85" s="11"/>
    </row>
    <row r="86" spans="1:14" x14ac:dyDescent="0.2">
      <c r="A86" s="11"/>
      <c r="B86" s="11"/>
      <c r="C86" s="11"/>
      <c r="D86" s="11">
        <v>-1</v>
      </c>
      <c r="E86" s="201"/>
      <c r="F86" s="255">
        <f>IF(D86=-1,-1,VLOOKUP(D86,Data_Descriptions!$A:$B,2,0))</f>
        <v>-1</v>
      </c>
      <c r="G86" s="11">
        <v>-1</v>
      </c>
      <c r="H86" s="11"/>
      <c r="I86" s="255">
        <f>IF(G86=-1,-1,VLOOKUP(G86,Data_Descriptions!$A:$B,2,0))</f>
        <v>-1</v>
      </c>
      <c r="J86" s="11">
        <v>-1</v>
      </c>
      <c r="K86" s="11"/>
      <c r="L86" s="255">
        <f>IF(J86=-1,-1,VLOOKUP(J86,Data_Descriptions!$A:$B,2,0))</f>
        <v>-1</v>
      </c>
      <c r="M86" s="11">
        <v>-1</v>
      </c>
      <c r="N86" s="11"/>
    </row>
    <row r="87" spans="1:14" x14ac:dyDescent="0.2">
      <c r="A87" s="11"/>
      <c r="B87" s="11"/>
      <c r="C87" s="11"/>
      <c r="D87" s="11">
        <v>-1</v>
      </c>
      <c r="E87" s="201"/>
      <c r="F87" s="255">
        <f>IF(D87=-1,-1,VLOOKUP(D87,Data_Descriptions!$A:$B,2,0))</f>
        <v>-1</v>
      </c>
      <c r="G87" s="11">
        <v>-1</v>
      </c>
      <c r="H87" s="11"/>
      <c r="I87" s="255">
        <f>IF(G87=-1,-1,VLOOKUP(G87,Data_Descriptions!$A:$B,2,0))</f>
        <v>-1</v>
      </c>
      <c r="J87" s="11">
        <v>-1</v>
      </c>
      <c r="K87" s="11"/>
      <c r="L87" s="255">
        <f>IF(J87=-1,-1,VLOOKUP(J87,Data_Descriptions!$A:$B,2,0))</f>
        <v>-1</v>
      </c>
      <c r="M87" s="11">
        <v>-1</v>
      </c>
      <c r="N87" s="11"/>
    </row>
    <row r="88" spans="1:14" x14ac:dyDescent="0.2">
      <c r="A88" s="11"/>
      <c r="B88" s="11"/>
      <c r="C88" s="11"/>
      <c r="D88" s="11">
        <v>-1</v>
      </c>
      <c r="E88" s="201"/>
      <c r="F88" s="255">
        <f>IF(D88=-1,-1,VLOOKUP(D88,Data_Descriptions!$A:$B,2,0))</f>
        <v>-1</v>
      </c>
      <c r="G88" s="11">
        <v>-1</v>
      </c>
      <c r="H88" s="11"/>
      <c r="I88" s="255">
        <f>IF(G88=-1,-1,VLOOKUP(G88,Data_Descriptions!$A:$B,2,0))</f>
        <v>-1</v>
      </c>
      <c r="J88" s="11">
        <v>-1</v>
      </c>
      <c r="K88" s="11"/>
      <c r="L88" s="255">
        <f>IF(J88=-1,-1,VLOOKUP(J88,Data_Descriptions!$A:$B,2,0))</f>
        <v>-1</v>
      </c>
      <c r="M88" s="11">
        <v>-1</v>
      </c>
      <c r="N88" s="11"/>
    </row>
    <row r="89" spans="1:14" x14ac:dyDescent="0.2">
      <c r="A89" s="11"/>
      <c r="B89" s="11"/>
      <c r="C89" s="11"/>
      <c r="D89" s="11">
        <v>-1</v>
      </c>
      <c r="E89" s="201"/>
      <c r="F89" s="255">
        <f>IF(D89=-1,-1,VLOOKUP(D89,Data_Descriptions!$A:$B,2,0))</f>
        <v>-1</v>
      </c>
      <c r="G89" s="11">
        <v>-1</v>
      </c>
      <c r="H89" s="11"/>
      <c r="I89" s="255">
        <f>IF(G89=-1,-1,VLOOKUP(G89,Data_Descriptions!$A:$B,2,0))</f>
        <v>-1</v>
      </c>
      <c r="J89" s="11">
        <v>-1</v>
      </c>
      <c r="K89" s="11"/>
      <c r="L89" s="255">
        <f>IF(J89=-1,-1,VLOOKUP(J89,Data_Descriptions!$A:$B,2,0))</f>
        <v>-1</v>
      </c>
      <c r="M89" s="11">
        <v>-1</v>
      </c>
      <c r="N89" s="11"/>
    </row>
    <row r="90" spans="1:14" x14ac:dyDescent="0.2">
      <c r="A90" s="11"/>
      <c r="B90" s="11"/>
      <c r="C90" s="11"/>
      <c r="D90" s="11">
        <v>-1</v>
      </c>
      <c r="E90" s="201"/>
      <c r="F90" s="255">
        <f>IF(D90=-1,-1,VLOOKUP(D90,Data_Descriptions!$A:$B,2,0))</f>
        <v>-1</v>
      </c>
      <c r="G90" s="11">
        <v>-1</v>
      </c>
      <c r="H90" s="11"/>
      <c r="I90" s="255">
        <f>IF(G90=-1,-1,VLOOKUP(G90,Data_Descriptions!$A:$B,2,0))</f>
        <v>-1</v>
      </c>
      <c r="J90" s="11">
        <v>-1</v>
      </c>
      <c r="K90" s="11"/>
      <c r="L90" s="255">
        <f>IF(J90=-1,-1,VLOOKUP(J90,Data_Descriptions!$A:$B,2,0))</f>
        <v>-1</v>
      </c>
      <c r="M90" s="11">
        <v>-1</v>
      </c>
      <c r="N90" s="11"/>
    </row>
    <row r="91" spans="1:14" x14ac:dyDescent="0.2">
      <c r="A91" s="11"/>
      <c r="B91" s="11"/>
      <c r="C91" s="11"/>
      <c r="D91" s="11">
        <v>-1</v>
      </c>
      <c r="E91" s="201"/>
      <c r="F91" s="255">
        <f>IF(D91=-1,-1,VLOOKUP(D91,Data_Descriptions!$A:$B,2,0))</f>
        <v>-1</v>
      </c>
      <c r="G91" s="11">
        <v>-1</v>
      </c>
      <c r="H91" s="11"/>
      <c r="I91" s="255">
        <f>IF(G91=-1,-1,VLOOKUP(G91,Data_Descriptions!$A:$B,2,0))</f>
        <v>-1</v>
      </c>
      <c r="J91" s="11">
        <v>-1</v>
      </c>
      <c r="K91" s="11"/>
      <c r="L91" s="255">
        <f>IF(J91=-1,-1,VLOOKUP(J91,Data_Descriptions!$A:$B,2,0))</f>
        <v>-1</v>
      </c>
      <c r="M91" s="11">
        <v>-1</v>
      </c>
      <c r="N91" s="11"/>
    </row>
    <row r="92" spans="1:14" x14ac:dyDescent="0.2">
      <c r="A92" s="11"/>
      <c r="B92" s="11"/>
      <c r="C92" s="11"/>
      <c r="D92" s="11">
        <v>-1</v>
      </c>
      <c r="E92" s="201"/>
      <c r="F92" s="255">
        <f>IF(D92=-1,-1,VLOOKUP(D92,Data_Descriptions!$A:$B,2,0))</f>
        <v>-1</v>
      </c>
      <c r="G92" s="11">
        <v>-1</v>
      </c>
      <c r="H92" s="11"/>
      <c r="I92" s="255">
        <f>IF(G92=-1,-1,VLOOKUP(G92,Data_Descriptions!$A:$B,2,0))</f>
        <v>-1</v>
      </c>
      <c r="J92" s="11">
        <v>-1</v>
      </c>
      <c r="K92" s="11"/>
      <c r="L92" s="255">
        <f>IF(J92=-1,-1,VLOOKUP(J92,Data_Descriptions!$A:$B,2,0))</f>
        <v>-1</v>
      </c>
      <c r="M92" s="11">
        <v>-1</v>
      </c>
      <c r="N92" s="11"/>
    </row>
    <row r="93" spans="1:14" x14ac:dyDescent="0.2">
      <c r="A93" s="11"/>
      <c r="B93" s="11"/>
      <c r="C93" s="11"/>
      <c r="D93" s="11">
        <v>-1</v>
      </c>
      <c r="E93" s="201"/>
      <c r="F93" s="255">
        <f>IF(D93=-1,-1,VLOOKUP(D93,Data_Descriptions!$A:$B,2,0))</f>
        <v>-1</v>
      </c>
      <c r="G93" s="11">
        <v>-1</v>
      </c>
      <c r="H93" s="11"/>
      <c r="I93" s="255">
        <f>IF(G93=-1,-1,VLOOKUP(G93,Data_Descriptions!$A:$B,2,0))</f>
        <v>-1</v>
      </c>
      <c r="J93" s="11">
        <v>-1</v>
      </c>
      <c r="K93" s="11"/>
      <c r="L93" s="255">
        <f>IF(J93=-1,-1,VLOOKUP(J93,Data_Descriptions!$A:$B,2,0))</f>
        <v>-1</v>
      </c>
      <c r="M93" s="11">
        <v>-1</v>
      </c>
      <c r="N93" s="11"/>
    </row>
    <row r="94" spans="1:14" x14ac:dyDescent="0.2">
      <c r="A94" s="11"/>
      <c r="B94" s="11"/>
      <c r="C94" s="11"/>
      <c r="D94" s="11">
        <v>-1</v>
      </c>
      <c r="E94" s="201"/>
      <c r="F94" s="255">
        <f>IF(D94=-1,-1,VLOOKUP(D94,Data_Descriptions!$A:$B,2,0))</f>
        <v>-1</v>
      </c>
      <c r="G94" s="11">
        <v>-1</v>
      </c>
      <c r="H94" s="11"/>
      <c r="I94" s="255">
        <f>IF(G94=-1,-1,VLOOKUP(G94,Data_Descriptions!$A:$B,2,0))</f>
        <v>-1</v>
      </c>
      <c r="J94" s="11">
        <v>-1</v>
      </c>
      <c r="K94" s="11"/>
      <c r="L94" s="255">
        <f>IF(J94=-1,-1,VLOOKUP(J94,Data_Descriptions!$A:$B,2,0))</f>
        <v>-1</v>
      </c>
      <c r="M94" s="11">
        <v>-1</v>
      </c>
      <c r="N94" s="11"/>
    </row>
    <row r="95" spans="1:14" x14ac:dyDescent="0.2">
      <c r="A95" s="11"/>
      <c r="B95" s="11"/>
      <c r="C95" s="11"/>
      <c r="D95" s="11">
        <v>-1</v>
      </c>
      <c r="E95" s="201"/>
      <c r="F95" s="255">
        <f>IF(D95=-1,-1,VLOOKUP(D95,Data_Descriptions!$A:$B,2,0))</f>
        <v>-1</v>
      </c>
      <c r="G95" s="11">
        <v>-1</v>
      </c>
      <c r="H95" s="11"/>
      <c r="I95" s="255">
        <f>IF(G95=-1,-1,VLOOKUP(G95,Data_Descriptions!$A:$B,2,0))</f>
        <v>-1</v>
      </c>
      <c r="J95" s="11">
        <v>-1</v>
      </c>
      <c r="K95" s="11"/>
      <c r="L95" s="255">
        <f>IF(J95=-1,-1,VLOOKUP(J95,Data_Descriptions!$A:$B,2,0))</f>
        <v>-1</v>
      </c>
      <c r="M95" s="11">
        <v>-1</v>
      </c>
      <c r="N95" s="11"/>
    </row>
    <row r="96" spans="1:14" x14ac:dyDescent="0.2">
      <c r="A96" s="11"/>
      <c r="B96" s="11"/>
      <c r="C96" s="11"/>
      <c r="D96" s="11">
        <v>-1</v>
      </c>
      <c r="E96" s="201"/>
      <c r="F96" s="255">
        <f>IF(D96=-1,-1,VLOOKUP(D96,Data_Descriptions!$A:$B,2,0))</f>
        <v>-1</v>
      </c>
      <c r="G96" s="11">
        <v>-1</v>
      </c>
      <c r="H96" s="11"/>
      <c r="I96" s="255">
        <f>IF(G96=-1,-1,VLOOKUP(G96,Data_Descriptions!$A:$B,2,0))</f>
        <v>-1</v>
      </c>
      <c r="J96" s="11">
        <v>-1</v>
      </c>
      <c r="K96" s="11"/>
      <c r="L96" s="255">
        <f>IF(J96=-1,-1,VLOOKUP(J96,Data_Descriptions!$A:$B,2,0))</f>
        <v>-1</v>
      </c>
      <c r="M96" s="11">
        <v>-1</v>
      </c>
      <c r="N96" s="11"/>
    </row>
    <row r="97" spans="1:14" x14ac:dyDescent="0.2">
      <c r="A97" s="11"/>
      <c r="B97" s="11"/>
      <c r="C97" s="11"/>
      <c r="D97" s="11">
        <v>-1</v>
      </c>
      <c r="E97" s="201"/>
      <c r="F97" s="255">
        <f>IF(D97=-1,-1,VLOOKUP(D97,Data_Descriptions!$A:$B,2,0))</f>
        <v>-1</v>
      </c>
      <c r="G97" s="11">
        <v>-1</v>
      </c>
      <c r="H97" s="11"/>
      <c r="I97" s="255">
        <f>IF(G97=-1,-1,VLOOKUP(G97,Data_Descriptions!$A:$B,2,0))</f>
        <v>-1</v>
      </c>
      <c r="J97" s="11">
        <v>-1</v>
      </c>
      <c r="K97" s="11"/>
      <c r="L97" s="255">
        <f>IF(J97=-1,-1,VLOOKUP(J97,Data_Descriptions!$A:$B,2,0))</f>
        <v>-1</v>
      </c>
      <c r="M97" s="11">
        <v>-1</v>
      </c>
      <c r="N97" s="11"/>
    </row>
    <row r="98" spans="1:14" x14ac:dyDescent="0.2">
      <c r="A98" s="11"/>
      <c r="B98" s="11"/>
      <c r="C98" s="11"/>
      <c r="D98" s="11">
        <v>-1</v>
      </c>
      <c r="E98" s="201"/>
      <c r="F98" s="255">
        <f>IF(D98=-1,-1,VLOOKUP(D98,Data_Descriptions!$A:$B,2,0))</f>
        <v>-1</v>
      </c>
      <c r="G98" s="11">
        <v>-1</v>
      </c>
      <c r="H98" s="11"/>
      <c r="I98" s="255">
        <f>IF(G98=-1,-1,VLOOKUP(G98,Data_Descriptions!$A:$B,2,0))</f>
        <v>-1</v>
      </c>
      <c r="J98" s="11">
        <v>-1</v>
      </c>
      <c r="K98" s="11"/>
      <c r="L98" s="255">
        <f>IF(J98=-1,-1,VLOOKUP(J98,Data_Descriptions!$A:$B,2,0))</f>
        <v>-1</v>
      </c>
      <c r="M98" s="11">
        <v>-1</v>
      </c>
      <c r="N98" s="11"/>
    </row>
    <row r="99" spans="1:14" x14ac:dyDescent="0.2">
      <c r="A99" s="11"/>
      <c r="B99" s="11"/>
      <c r="C99" s="11"/>
      <c r="D99" s="11">
        <v>-1</v>
      </c>
      <c r="E99" s="201"/>
      <c r="F99" s="255">
        <f>IF(D99=-1,-1,VLOOKUP(D99,Data_Descriptions!$A:$B,2,0))</f>
        <v>-1</v>
      </c>
      <c r="G99" s="11">
        <v>-1</v>
      </c>
      <c r="H99" s="11"/>
      <c r="I99" s="255">
        <f>IF(G99=-1,-1,VLOOKUP(G99,Data_Descriptions!$A:$B,2,0))</f>
        <v>-1</v>
      </c>
      <c r="J99" s="11">
        <v>-1</v>
      </c>
      <c r="K99" s="11"/>
      <c r="L99" s="255">
        <f>IF(J99=-1,-1,VLOOKUP(J99,Data_Descriptions!$A:$B,2,0))</f>
        <v>-1</v>
      </c>
      <c r="M99" s="11">
        <v>-1</v>
      </c>
      <c r="N99" s="11"/>
    </row>
    <row r="100" spans="1:14" x14ac:dyDescent="0.2">
      <c r="A100" s="11"/>
      <c r="B100" s="11"/>
      <c r="C100" s="11"/>
      <c r="D100" s="11">
        <v>-1</v>
      </c>
      <c r="E100" s="201"/>
      <c r="F100" s="255">
        <f>IF(D100=-1,-1,VLOOKUP(D100,Data_Descriptions!$A:$B,2,0))</f>
        <v>-1</v>
      </c>
      <c r="G100" s="11">
        <v>-1</v>
      </c>
      <c r="H100" s="11"/>
      <c r="I100" s="255">
        <f>IF(G100=-1,-1,VLOOKUP(G100,Data_Descriptions!$A:$B,2,0))</f>
        <v>-1</v>
      </c>
      <c r="J100" s="11">
        <v>-1</v>
      </c>
      <c r="K100" s="11"/>
      <c r="L100" s="255">
        <f>IF(J100=-1,-1,VLOOKUP(J100,Data_Descriptions!$A:$B,2,0))</f>
        <v>-1</v>
      </c>
      <c r="M100" s="11">
        <v>-1</v>
      </c>
      <c r="N100" s="11"/>
    </row>
    <row r="101" spans="1:14" x14ac:dyDescent="0.2">
      <c r="A101" s="11"/>
      <c r="B101" s="11"/>
      <c r="C101" s="11"/>
      <c r="D101" s="11">
        <v>-1</v>
      </c>
      <c r="E101" s="201"/>
      <c r="F101" s="255">
        <f>IF(D101=-1,-1,VLOOKUP(D101,Data_Descriptions!$A:$B,2,0))</f>
        <v>-1</v>
      </c>
      <c r="G101" s="11">
        <v>-1</v>
      </c>
      <c r="H101" s="11"/>
      <c r="I101" s="255">
        <f>IF(G101=-1,-1,VLOOKUP(G101,Data_Descriptions!$A:$B,2,0))</f>
        <v>-1</v>
      </c>
      <c r="J101" s="11">
        <v>-1</v>
      </c>
      <c r="K101" s="11"/>
      <c r="L101" s="255">
        <f>IF(J101=-1,-1,VLOOKUP(J101,Data_Descriptions!$A:$B,2,0))</f>
        <v>-1</v>
      </c>
      <c r="M101" s="11">
        <v>-1</v>
      </c>
      <c r="N101" s="11"/>
    </row>
    <row r="102" spans="1:14" x14ac:dyDescent="0.2">
      <c r="A102" s="11"/>
      <c r="B102" s="11"/>
      <c r="C102" s="11"/>
      <c r="D102" s="11">
        <v>-1</v>
      </c>
      <c r="E102" s="201"/>
      <c r="F102" s="255">
        <f>IF(D102=-1,-1,VLOOKUP(D102,Data_Descriptions!$A:$B,2,0))</f>
        <v>-1</v>
      </c>
      <c r="G102" s="11">
        <v>-1</v>
      </c>
      <c r="H102" s="11"/>
      <c r="I102" s="255">
        <f>IF(G102=-1,-1,VLOOKUP(G102,Data_Descriptions!$A:$B,2,0))</f>
        <v>-1</v>
      </c>
      <c r="J102" s="11">
        <v>-1</v>
      </c>
      <c r="K102" s="11"/>
      <c r="L102" s="255">
        <f>IF(J102=-1,-1,VLOOKUP(J102,Data_Descriptions!$A:$B,2,0))</f>
        <v>-1</v>
      </c>
      <c r="M102" s="11">
        <v>-1</v>
      </c>
      <c r="N102" s="11"/>
    </row>
    <row r="103" spans="1:14" x14ac:dyDescent="0.2">
      <c r="A103" s="11"/>
      <c r="B103" s="11"/>
      <c r="C103" s="11"/>
      <c r="D103" s="11">
        <v>-1</v>
      </c>
      <c r="E103" s="201"/>
      <c r="F103" s="255">
        <f>IF(D103=-1,-1,VLOOKUP(D103,Data_Descriptions!$A:$B,2,0))</f>
        <v>-1</v>
      </c>
      <c r="G103" s="11">
        <v>-1</v>
      </c>
      <c r="H103" s="11"/>
      <c r="I103" s="255">
        <f>IF(G103=-1,-1,VLOOKUP(G103,Data_Descriptions!$A:$B,2,0))</f>
        <v>-1</v>
      </c>
      <c r="J103" s="11">
        <v>-1</v>
      </c>
      <c r="K103" s="11"/>
      <c r="L103" s="255">
        <f>IF(J103=-1,-1,VLOOKUP(J103,Data_Descriptions!$A:$B,2,0))</f>
        <v>-1</v>
      </c>
      <c r="M103" s="11">
        <v>-1</v>
      </c>
      <c r="N103" s="11"/>
    </row>
    <row r="104" spans="1:14" x14ac:dyDescent="0.2">
      <c r="A104" s="11"/>
      <c r="B104" s="11"/>
      <c r="C104" s="11"/>
      <c r="D104" s="11">
        <v>-1</v>
      </c>
      <c r="E104" s="201"/>
      <c r="F104" s="255">
        <f>IF(D104=-1,-1,VLOOKUP(D104,Data_Descriptions!$A:$B,2,0))</f>
        <v>-1</v>
      </c>
      <c r="G104" s="11">
        <v>-1</v>
      </c>
      <c r="H104" s="11"/>
      <c r="I104" s="255">
        <f>IF(G104=-1,-1,VLOOKUP(G104,Data_Descriptions!$A:$B,2,0))</f>
        <v>-1</v>
      </c>
      <c r="J104" s="11">
        <v>-1</v>
      </c>
      <c r="K104" s="11"/>
      <c r="L104" s="255">
        <f>IF(J104=-1,-1,VLOOKUP(J104,Data_Descriptions!$A:$B,2,0))</f>
        <v>-1</v>
      </c>
      <c r="M104" s="11">
        <v>-1</v>
      </c>
      <c r="N104" s="11"/>
    </row>
    <row r="105" spans="1:14" x14ac:dyDescent="0.2">
      <c r="A105" s="11"/>
      <c r="B105" s="11"/>
      <c r="C105" s="11"/>
      <c r="D105" s="11">
        <v>-1</v>
      </c>
      <c r="E105" s="201"/>
      <c r="F105" s="255">
        <f>IF(D105=-1,-1,VLOOKUP(D105,Data_Descriptions!$A:$B,2,0))</f>
        <v>-1</v>
      </c>
      <c r="G105" s="11">
        <v>-1</v>
      </c>
      <c r="H105" s="11"/>
      <c r="I105" s="255">
        <f>IF(G105=-1,-1,VLOOKUP(G105,Data_Descriptions!$A:$B,2,0))</f>
        <v>-1</v>
      </c>
      <c r="J105" s="11">
        <v>-1</v>
      </c>
      <c r="K105" s="11"/>
      <c r="L105" s="255">
        <f>IF(J105=-1,-1,VLOOKUP(J105,Data_Descriptions!$A:$B,2,0))</f>
        <v>-1</v>
      </c>
      <c r="M105" s="11">
        <v>-1</v>
      </c>
      <c r="N105" s="11"/>
    </row>
    <row r="106" spans="1:14" x14ac:dyDescent="0.2">
      <c r="A106" s="11"/>
      <c r="B106" s="11"/>
      <c r="C106" s="11"/>
      <c r="D106" s="11">
        <v>-1</v>
      </c>
      <c r="E106" s="201"/>
      <c r="F106" s="255">
        <f>IF(D106=-1,-1,VLOOKUP(D106,Data_Descriptions!$A:$B,2,0))</f>
        <v>-1</v>
      </c>
      <c r="G106" s="11">
        <v>-1</v>
      </c>
      <c r="H106" s="11"/>
      <c r="I106" s="255">
        <f>IF(G106=-1,-1,VLOOKUP(G106,Data_Descriptions!$A:$B,2,0))</f>
        <v>-1</v>
      </c>
      <c r="J106" s="11">
        <v>-1</v>
      </c>
      <c r="K106" s="11"/>
      <c r="L106" s="255">
        <f>IF(J106=-1,-1,VLOOKUP(J106,Data_Descriptions!$A:$B,2,0))</f>
        <v>-1</v>
      </c>
      <c r="M106" s="11">
        <v>-1</v>
      </c>
      <c r="N106" s="11"/>
    </row>
    <row r="107" spans="1:14" x14ac:dyDescent="0.2">
      <c r="A107" s="11"/>
      <c r="B107" s="11"/>
      <c r="C107" s="11"/>
      <c r="D107" s="11">
        <v>-1</v>
      </c>
      <c r="E107" s="201"/>
      <c r="F107" s="255">
        <f>IF(D107=-1,-1,VLOOKUP(D107,Data_Descriptions!$A:$B,2,0))</f>
        <v>-1</v>
      </c>
      <c r="G107" s="11">
        <v>-1</v>
      </c>
      <c r="H107" s="11"/>
      <c r="I107" s="255">
        <f>IF(G107=-1,-1,VLOOKUP(G107,Data_Descriptions!$A:$B,2,0))</f>
        <v>-1</v>
      </c>
      <c r="J107" s="11">
        <v>-1</v>
      </c>
      <c r="K107" s="11"/>
      <c r="L107" s="255">
        <f>IF(J107=-1,-1,VLOOKUP(J107,Data_Descriptions!$A:$B,2,0))</f>
        <v>-1</v>
      </c>
      <c r="M107" s="11">
        <v>-1</v>
      </c>
      <c r="N107" s="11"/>
    </row>
    <row r="108" spans="1:14" x14ac:dyDescent="0.2">
      <c r="A108" s="11"/>
      <c r="B108" s="11"/>
      <c r="C108" s="11"/>
      <c r="D108" s="11">
        <v>-1</v>
      </c>
      <c r="E108" s="201"/>
      <c r="F108" s="255">
        <f>IF(D108=-1,-1,VLOOKUP(D108,Data_Descriptions!$A:$B,2,0))</f>
        <v>-1</v>
      </c>
      <c r="G108" s="11">
        <v>-1</v>
      </c>
      <c r="H108" s="11"/>
      <c r="I108" s="255">
        <f>IF(G108=-1,-1,VLOOKUP(G108,Data_Descriptions!$A:$B,2,0))</f>
        <v>-1</v>
      </c>
      <c r="J108" s="11">
        <v>-1</v>
      </c>
      <c r="K108" s="11"/>
      <c r="L108" s="255">
        <f>IF(J108=-1,-1,VLOOKUP(J108,Data_Descriptions!$A:$B,2,0))</f>
        <v>-1</v>
      </c>
      <c r="M108" s="11">
        <v>-1</v>
      </c>
      <c r="N108" s="11"/>
    </row>
    <row r="109" spans="1:14" x14ac:dyDescent="0.2">
      <c r="A109" s="11"/>
      <c r="B109" s="11"/>
      <c r="C109" s="11"/>
      <c r="D109" s="11">
        <v>-1</v>
      </c>
      <c r="E109" s="201"/>
      <c r="F109" s="255">
        <f>IF(D109=-1,-1,VLOOKUP(D109,Data_Descriptions!$A:$B,2,0))</f>
        <v>-1</v>
      </c>
      <c r="G109" s="11">
        <v>-1</v>
      </c>
      <c r="H109" s="11"/>
      <c r="I109" s="255">
        <f>IF(G109=-1,-1,VLOOKUP(G109,Data_Descriptions!$A:$B,2,0))</f>
        <v>-1</v>
      </c>
      <c r="J109" s="11"/>
      <c r="K109" s="11"/>
      <c r="L109" s="255"/>
      <c r="M109" s="11"/>
      <c r="N109" s="11"/>
    </row>
    <row r="110" spans="1:14" x14ac:dyDescent="0.2">
      <c r="A110" s="11"/>
      <c r="B110" s="11"/>
      <c r="C110" s="11"/>
      <c r="D110" s="11">
        <v>-1</v>
      </c>
      <c r="E110" s="201"/>
      <c r="F110" s="255">
        <f>IF(D110=-1,-1,VLOOKUP(D110,Data_Descriptions!$A:$B,2,0))</f>
        <v>-1</v>
      </c>
      <c r="G110" s="11">
        <v>-1</v>
      </c>
      <c r="H110" s="11"/>
      <c r="I110" s="255">
        <f>IF(G110=-1,-1,VLOOKUP(G110,Data_Descriptions!$A:$B,2,0))</f>
        <v>-1</v>
      </c>
      <c r="J110" s="11"/>
      <c r="K110" s="11"/>
      <c r="L110" s="255"/>
      <c r="M110" s="11"/>
      <c r="N110" s="11"/>
    </row>
    <row r="111" spans="1:14" x14ac:dyDescent="0.2">
      <c r="A111" s="11"/>
      <c r="B111" s="11"/>
      <c r="C111" s="11"/>
      <c r="D111" s="11">
        <v>-1</v>
      </c>
      <c r="E111" s="201"/>
      <c r="F111" s="255">
        <f>IF(D111=-1,-1,VLOOKUP(D111,Data_Descriptions!$A:$B,2,0))</f>
        <v>-1</v>
      </c>
      <c r="G111" s="11">
        <v>-1</v>
      </c>
      <c r="H111" s="11"/>
      <c r="I111" s="255">
        <f>IF(G111=-1,-1,VLOOKUP(G111,Data_Descriptions!$A:$B,2,0))</f>
        <v>-1</v>
      </c>
      <c r="J111" s="11"/>
      <c r="K111" s="11"/>
      <c r="L111" s="255"/>
      <c r="M111" s="11"/>
      <c r="N111" s="11"/>
    </row>
    <row r="112" spans="1:14" x14ac:dyDescent="0.2">
      <c r="A112" s="11"/>
      <c r="B112" s="11"/>
      <c r="C112" s="11"/>
      <c r="D112" s="11">
        <v>-1</v>
      </c>
      <c r="E112" s="201"/>
      <c r="F112" s="255">
        <f>IF(D112=-1,-1,VLOOKUP(D112,Data_Descriptions!$A:$B,2,0))</f>
        <v>-1</v>
      </c>
      <c r="G112" s="11">
        <v>-1</v>
      </c>
      <c r="H112" s="11"/>
      <c r="I112" s="255">
        <f>IF(G112=-1,-1,VLOOKUP(G112,Data_Descriptions!$A:$B,2,0))</f>
        <v>-1</v>
      </c>
      <c r="J112" s="11"/>
      <c r="K112" s="11"/>
      <c r="L112" s="255"/>
      <c r="M112" s="11"/>
      <c r="N112" s="11"/>
    </row>
    <row r="113" spans="1:14" x14ac:dyDescent="0.2">
      <c r="A113" s="11"/>
      <c r="B113" s="11"/>
      <c r="C113" s="11"/>
      <c r="D113" s="11">
        <v>-1</v>
      </c>
      <c r="E113" s="201"/>
      <c r="F113" s="255">
        <f>IF(D113=-1,-1,VLOOKUP(D113,Data_Descriptions!$A:$B,2,0))</f>
        <v>-1</v>
      </c>
      <c r="G113" s="11">
        <v>-1</v>
      </c>
      <c r="H113" s="11"/>
      <c r="I113" s="255">
        <f>IF(G113=-1,-1,VLOOKUP(G113,Data_Descriptions!$A:$B,2,0))</f>
        <v>-1</v>
      </c>
      <c r="J113" s="11"/>
      <c r="K113" s="11"/>
      <c r="L113" s="255"/>
      <c r="M113" s="11"/>
      <c r="N113" s="11"/>
    </row>
    <row r="114" spans="1:14" x14ac:dyDescent="0.2">
      <c r="A114" s="11"/>
      <c r="B114" s="11"/>
      <c r="C114" s="11"/>
      <c r="D114" s="11">
        <v>-1</v>
      </c>
      <c r="E114" s="201"/>
      <c r="F114" s="255">
        <f>IF(D114=-1,-1,VLOOKUP(D114,Data_Descriptions!$A:$B,2,0))</f>
        <v>-1</v>
      </c>
      <c r="G114" s="11">
        <v>-1</v>
      </c>
      <c r="H114" s="11"/>
      <c r="I114" s="255">
        <f>IF(G114=-1,-1,VLOOKUP(G114,Data_Descriptions!$A:$B,2,0))</f>
        <v>-1</v>
      </c>
      <c r="J114" s="11"/>
      <c r="K114" s="11"/>
      <c r="L114" s="255"/>
      <c r="M114" s="11"/>
      <c r="N114" s="11"/>
    </row>
    <row r="115" spans="1:14" x14ac:dyDescent="0.2">
      <c r="A115" s="11"/>
      <c r="B115" s="11"/>
      <c r="C115" s="11"/>
      <c r="D115" s="11">
        <v>-1</v>
      </c>
      <c r="E115" s="201"/>
      <c r="F115" s="255">
        <f>IF(D115=-1,-1,VLOOKUP(D115,Data_Descriptions!$A:$B,2,0))</f>
        <v>-1</v>
      </c>
      <c r="G115" s="11">
        <v>-1</v>
      </c>
      <c r="H115" s="11"/>
      <c r="I115" s="255">
        <f>IF(G115=-1,-1,VLOOKUP(G115,Data_Descriptions!$A:$B,2,0))</f>
        <v>-1</v>
      </c>
      <c r="J115" s="11"/>
      <c r="K115" s="11"/>
      <c r="L115" s="255"/>
      <c r="M115" s="11"/>
      <c r="N115" s="11"/>
    </row>
    <row r="116" spans="1:14" x14ac:dyDescent="0.2">
      <c r="A116" s="11"/>
      <c r="B116" s="11"/>
      <c r="C116" s="11"/>
      <c r="D116" s="11">
        <v>-1</v>
      </c>
      <c r="E116" s="201"/>
      <c r="F116" s="255">
        <f>IF(D116=-1,-1,VLOOKUP(D116,Data_Descriptions!$A:$B,2,0))</f>
        <v>-1</v>
      </c>
      <c r="G116" s="11">
        <v>-1</v>
      </c>
      <c r="H116" s="11"/>
      <c r="I116" s="255">
        <f>IF(G116=-1,-1,VLOOKUP(G116,Data_Descriptions!$A:$B,2,0))</f>
        <v>-1</v>
      </c>
      <c r="J116" s="11"/>
      <c r="K116" s="11"/>
      <c r="L116" s="255"/>
      <c r="M116" s="11"/>
      <c r="N116" s="11"/>
    </row>
    <row r="117" spans="1:14" x14ac:dyDescent="0.2">
      <c r="A117" s="11"/>
      <c r="B117" s="11"/>
      <c r="C117" s="11"/>
      <c r="D117" s="11">
        <v>-1</v>
      </c>
      <c r="E117" s="201"/>
      <c r="F117" s="255">
        <f>IF(D117=-1,-1,VLOOKUP(D117,Data_Descriptions!$A:$B,2,0))</f>
        <v>-1</v>
      </c>
      <c r="G117" s="11">
        <v>-1</v>
      </c>
      <c r="H117" s="11"/>
      <c r="I117" s="255">
        <f>IF(G117=-1,-1,VLOOKUP(G117,Data_Descriptions!$A:$B,2,0))</f>
        <v>-1</v>
      </c>
      <c r="J117" s="11"/>
      <c r="K117" s="11"/>
      <c r="L117" s="255"/>
      <c r="M117" s="11"/>
      <c r="N117" s="11"/>
    </row>
    <row r="118" spans="1:14" x14ac:dyDescent="0.2">
      <c r="A118" s="11"/>
      <c r="B118" s="11"/>
      <c r="C118" s="11"/>
      <c r="D118" s="11">
        <v>-1</v>
      </c>
      <c r="E118" s="201"/>
      <c r="F118" s="255">
        <f>IF(D118=-1,-1,VLOOKUP(D118,Data_Descriptions!$A:$B,2,0))</f>
        <v>-1</v>
      </c>
      <c r="G118" s="11">
        <v>-1</v>
      </c>
      <c r="H118" s="11"/>
      <c r="I118" s="255">
        <f>IF(G118=-1,-1,VLOOKUP(G118,Data_Descriptions!$A:$B,2,0))</f>
        <v>-1</v>
      </c>
      <c r="J118" s="11"/>
      <c r="K118" s="11"/>
      <c r="L118" s="255"/>
      <c r="M118" s="11"/>
      <c r="N118" s="11"/>
    </row>
    <row r="119" spans="1:14" x14ac:dyDescent="0.2">
      <c r="A119" s="11"/>
      <c r="B119" s="11"/>
      <c r="C119" s="11"/>
      <c r="D119" s="11">
        <v>-1</v>
      </c>
      <c r="E119" s="201"/>
      <c r="F119" s="255">
        <f>IF(D119=-1,-1,VLOOKUP(D119,Data_Descriptions!$A:$B,2,0))</f>
        <v>-1</v>
      </c>
      <c r="G119" s="11">
        <v>-1</v>
      </c>
      <c r="H119" s="11"/>
      <c r="I119" s="255">
        <f>IF(G119=-1,-1,VLOOKUP(G119,Data_Descriptions!$A:$B,2,0))</f>
        <v>-1</v>
      </c>
      <c r="J119" s="11"/>
      <c r="K119" s="11"/>
      <c r="L119" s="255"/>
      <c r="M119" s="11"/>
      <c r="N119" s="11"/>
    </row>
    <row r="120" spans="1:14" x14ac:dyDescent="0.2">
      <c r="A120" s="11"/>
      <c r="B120" s="11"/>
      <c r="C120" s="11"/>
      <c r="D120" s="11">
        <v>-1</v>
      </c>
      <c r="E120" s="201"/>
      <c r="F120" s="255">
        <f>IF(D120=-1,-1,VLOOKUP(D120,Data_Descriptions!$A:$B,2,0))</f>
        <v>-1</v>
      </c>
      <c r="G120" s="11">
        <v>-1</v>
      </c>
      <c r="H120" s="11"/>
      <c r="I120" s="255">
        <f>IF(G120=-1,-1,VLOOKUP(G120,Data_Descriptions!$A:$B,2,0))</f>
        <v>-1</v>
      </c>
      <c r="J120" s="11"/>
      <c r="K120" s="11"/>
      <c r="L120" s="255"/>
      <c r="M120" s="11"/>
      <c r="N120" s="11"/>
    </row>
    <row r="121" spans="1:14" x14ac:dyDescent="0.2">
      <c r="A121" s="11"/>
      <c r="B121" s="11"/>
      <c r="C121" s="11"/>
      <c r="D121" s="11">
        <v>-1</v>
      </c>
      <c r="E121" s="201"/>
      <c r="F121" s="255">
        <f>IF(D121=-1,-1,VLOOKUP(D121,Data_Descriptions!$A:$B,2,0))</f>
        <v>-1</v>
      </c>
      <c r="G121" s="11">
        <v>-1</v>
      </c>
      <c r="H121" s="11"/>
      <c r="I121" s="255">
        <f>IF(G121=-1,-1,VLOOKUP(G121,Data_Descriptions!$A:$B,2,0))</f>
        <v>-1</v>
      </c>
      <c r="J121" s="11"/>
      <c r="K121" s="11"/>
      <c r="L121" s="255"/>
      <c r="M121" s="11"/>
      <c r="N121" s="11"/>
    </row>
    <row r="122" spans="1:14" x14ac:dyDescent="0.2">
      <c r="A122" s="11"/>
      <c r="B122" s="11"/>
      <c r="C122" s="11"/>
      <c r="D122" s="11">
        <v>-1</v>
      </c>
      <c r="E122" s="201"/>
      <c r="F122" s="255">
        <f>IF(D122=-1,-1,VLOOKUP(D122,Data_Descriptions!$A:$B,2,0))</f>
        <v>-1</v>
      </c>
      <c r="G122" s="11">
        <v>-1</v>
      </c>
      <c r="H122" s="11"/>
      <c r="I122" s="255">
        <f>IF(G122=-1,-1,VLOOKUP(G122,Data_Descriptions!$A:$B,2,0))</f>
        <v>-1</v>
      </c>
      <c r="J122" s="11"/>
      <c r="K122" s="11"/>
      <c r="L122" s="255"/>
      <c r="M122" s="11"/>
      <c r="N122" s="11"/>
    </row>
    <row r="123" spans="1:14" x14ac:dyDescent="0.2">
      <c r="A123" s="11"/>
      <c r="B123" s="11"/>
      <c r="C123" s="11"/>
      <c r="D123" s="11">
        <v>-1</v>
      </c>
      <c r="E123" s="201"/>
      <c r="F123" s="255">
        <f>IF(D123=-1,-1,VLOOKUP(D123,Data_Descriptions!$A:$B,2,0))</f>
        <v>-1</v>
      </c>
      <c r="G123" s="11">
        <v>-1</v>
      </c>
      <c r="H123" s="11"/>
      <c r="I123" s="255">
        <f>IF(G123=-1,-1,VLOOKUP(G123,Data_Descriptions!$A:$B,2,0))</f>
        <v>-1</v>
      </c>
      <c r="J123" s="11"/>
      <c r="K123" s="11"/>
      <c r="L123" s="255"/>
      <c r="M123" s="11"/>
      <c r="N123" s="11"/>
    </row>
    <row r="124" spans="1:14" x14ac:dyDescent="0.2">
      <c r="A124" s="11"/>
      <c r="B124" s="11"/>
      <c r="C124" s="11"/>
      <c r="D124" s="11">
        <v>-1</v>
      </c>
      <c r="E124" s="201"/>
      <c r="F124" s="255">
        <f>IF(D124=-1,-1,VLOOKUP(D124,Data_Descriptions!$A:$B,2,0))</f>
        <v>-1</v>
      </c>
      <c r="G124" s="11">
        <v>-1</v>
      </c>
      <c r="H124" s="11"/>
      <c r="I124" s="255">
        <f>IF(G124=-1,-1,VLOOKUP(G124,Data_Descriptions!$A:$B,2,0))</f>
        <v>-1</v>
      </c>
      <c r="J124" s="11"/>
      <c r="K124" s="11"/>
      <c r="L124" s="255"/>
      <c r="M124" s="11"/>
      <c r="N124" s="11"/>
    </row>
    <row r="125" spans="1:14" x14ac:dyDescent="0.2">
      <c r="A125" s="11"/>
      <c r="B125" s="11"/>
      <c r="C125" s="11"/>
      <c r="D125" s="11">
        <v>-1</v>
      </c>
      <c r="E125" s="201"/>
      <c r="F125" s="255">
        <f>IF(D125=-1,-1,VLOOKUP(D125,Data_Descriptions!$A:$B,2,0))</f>
        <v>-1</v>
      </c>
      <c r="G125" s="11">
        <v>-1</v>
      </c>
      <c r="H125" s="11"/>
      <c r="I125" s="255">
        <f>IF(G125=-1,-1,VLOOKUP(G125,Data_Descriptions!$A:$B,2,0))</f>
        <v>-1</v>
      </c>
      <c r="J125" s="11"/>
      <c r="K125" s="11"/>
      <c r="L125" s="255"/>
      <c r="M125" s="11"/>
      <c r="N125" s="11"/>
    </row>
    <row r="126" spans="1:14" x14ac:dyDescent="0.2">
      <c r="A126" s="11"/>
      <c r="B126" s="11"/>
      <c r="C126" s="11"/>
      <c r="D126" s="11">
        <v>-1</v>
      </c>
      <c r="E126" s="201"/>
      <c r="F126" s="255">
        <f>IF(D126=-1,-1,VLOOKUP(D126,Data_Descriptions!$A:$B,2,0))</f>
        <v>-1</v>
      </c>
      <c r="G126" s="11">
        <v>-1</v>
      </c>
      <c r="H126" s="11"/>
      <c r="I126" s="255">
        <f>IF(G126=-1,-1,VLOOKUP(G126,Data_Descriptions!$A:$B,2,0))</f>
        <v>-1</v>
      </c>
      <c r="J126" s="11"/>
      <c r="K126" s="11"/>
      <c r="L126" s="255"/>
      <c r="M126" s="11"/>
      <c r="N126" s="11"/>
    </row>
    <row r="127" spans="1:14" x14ac:dyDescent="0.2">
      <c r="A127" s="11"/>
      <c r="B127" s="11"/>
      <c r="C127" s="11"/>
      <c r="D127" s="11">
        <v>-1</v>
      </c>
      <c r="E127" s="201"/>
      <c r="F127" s="255">
        <f>IF(D127=-1,-1,VLOOKUP(D127,Data_Descriptions!$A:$B,2,0))</f>
        <v>-1</v>
      </c>
      <c r="G127" s="11">
        <v>-1</v>
      </c>
      <c r="H127" s="11"/>
      <c r="I127" s="255">
        <f>IF(G127=-1,-1,VLOOKUP(G127,Data_Descriptions!$A:$B,2,0))</f>
        <v>-1</v>
      </c>
      <c r="J127" s="11"/>
      <c r="K127" s="11"/>
      <c r="L127" s="255"/>
      <c r="M127" s="11"/>
      <c r="N127" s="11"/>
    </row>
    <row r="128" spans="1:14" x14ac:dyDescent="0.2">
      <c r="A128" s="11"/>
      <c r="B128" s="11"/>
      <c r="C128" s="11"/>
      <c r="D128" s="11">
        <v>-1</v>
      </c>
      <c r="E128" s="201"/>
      <c r="F128" s="255">
        <f>IF(D128=-1,-1,VLOOKUP(D128,Data_Descriptions!$A:$B,2,0))</f>
        <v>-1</v>
      </c>
      <c r="G128" s="11">
        <v>-1</v>
      </c>
      <c r="H128" s="11"/>
      <c r="I128" s="255">
        <f>IF(G128=-1,-1,VLOOKUP(G128,Data_Descriptions!$A:$B,2,0))</f>
        <v>-1</v>
      </c>
      <c r="J128" s="11"/>
      <c r="K128" s="11"/>
      <c r="L128" s="255"/>
      <c r="M128" s="11"/>
      <c r="N128" s="11"/>
    </row>
    <row r="129" spans="1:14" x14ac:dyDescent="0.2">
      <c r="A129" s="11"/>
      <c r="B129" s="11"/>
      <c r="C129" s="11"/>
      <c r="D129" s="11">
        <v>-1</v>
      </c>
      <c r="E129" s="201"/>
      <c r="F129" s="255">
        <f>IF(D129=-1,-1,VLOOKUP(D129,Data_Descriptions!$A:$B,2,0))</f>
        <v>-1</v>
      </c>
      <c r="G129" s="11">
        <v>-1</v>
      </c>
      <c r="H129" s="11"/>
      <c r="I129" s="255">
        <f>IF(G129=-1,-1,VLOOKUP(G129,Data_Descriptions!$A:$B,2,0))</f>
        <v>-1</v>
      </c>
      <c r="J129" s="11"/>
      <c r="K129" s="11"/>
      <c r="L129" s="255"/>
      <c r="M129" s="11"/>
      <c r="N129" s="11"/>
    </row>
    <row r="130" spans="1:14" x14ac:dyDescent="0.2">
      <c r="A130" s="11"/>
      <c r="B130" s="11"/>
      <c r="C130" s="11"/>
      <c r="D130" s="11">
        <v>-1</v>
      </c>
      <c r="E130" s="201"/>
      <c r="F130" s="255">
        <f>IF(D130=-1,-1,VLOOKUP(D130,Data_Descriptions!$A:$B,2,0))</f>
        <v>-1</v>
      </c>
      <c r="G130" s="11">
        <v>-1</v>
      </c>
      <c r="H130" s="11"/>
      <c r="I130" s="255">
        <f>IF(G130=-1,-1,VLOOKUP(G130,Data_Descriptions!$A:$B,2,0))</f>
        <v>-1</v>
      </c>
      <c r="J130" s="11"/>
      <c r="K130" s="11"/>
      <c r="L130" s="255"/>
      <c r="M130" s="11"/>
      <c r="N130" s="11"/>
    </row>
    <row r="131" spans="1:14" x14ac:dyDescent="0.2">
      <c r="A131" s="11"/>
      <c r="B131" s="11"/>
      <c r="C131" s="11"/>
      <c r="D131" s="11">
        <v>-1</v>
      </c>
      <c r="E131" s="201"/>
      <c r="F131" s="255">
        <f>IF(D131=-1,-1,VLOOKUP(D131,Data_Descriptions!$A:$B,2,0))</f>
        <v>-1</v>
      </c>
      <c r="G131" s="11">
        <v>-1</v>
      </c>
      <c r="H131" s="11"/>
      <c r="I131" s="255">
        <f>IF(G131=-1,-1,VLOOKUP(G131,Data_Descriptions!$A:$B,2,0))</f>
        <v>-1</v>
      </c>
      <c r="J131" s="11"/>
      <c r="K131" s="11"/>
      <c r="L131" s="255"/>
      <c r="M131" s="11"/>
      <c r="N131" s="11"/>
    </row>
    <row r="132" spans="1:14" x14ac:dyDescent="0.2">
      <c r="A132" s="11"/>
      <c r="B132" s="11"/>
      <c r="C132" s="11"/>
      <c r="D132" s="11">
        <v>-1</v>
      </c>
      <c r="E132" s="201"/>
      <c r="F132" s="255">
        <f>IF(D132=-1,-1,VLOOKUP(D132,Data_Descriptions!$A:$B,2,0))</f>
        <v>-1</v>
      </c>
      <c r="G132" s="11">
        <v>-1</v>
      </c>
      <c r="H132" s="11"/>
      <c r="I132" s="255">
        <f>IF(G132=-1,-1,VLOOKUP(G132,Data_Descriptions!$A:$B,2,0))</f>
        <v>-1</v>
      </c>
      <c r="J132" s="11"/>
      <c r="K132" s="11"/>
      <c r="L132" s="255"/>
      <c r="M132" s="11"/>
      <c r="N132" s="11"/>
    </row>
    <row r="133" spans="1:14" x14ac:dyDescent="0.2">
      <c r="A133" s="11"/>
      <c r="B133" s="11"/>
      <c r="C133" s="11"/>
      <c r="D133" s="11">
        <v>-1</v>
      </c>
      <c r="E133" s="201"/>
      <c r="F133" s="255">
        <f>IF(D133=-1,-1,VLOOKUP(D133,Data_Descriptions!$A:$B,2,0))</f>
        <v>-1</v>
      </c>
      <c r="G133" s="11">
        <v>-1</v>
      </c>
      <c r="H133" s="11"/>
      <c r="I133" s="255">
        <f>IF(G133=-1,-1,VLOOKUP(G133,Data_Descriptions!$A:$B,2,0))</f>
        <v>-1</v>
      </c>
      <c r="J133" s="11"/>
      <c r="K133" s="11"/>
      <c r="L133" s="255"/>
      <c r="M133" s="11"/>
      <c r="N133" s="11"/>
    </row>
    <row r="134" spans="1:14" x14ac:dyDescent="0.2">
      <c r="A134" s="11"/>
      <c r="B134" s="11"/>
      <c r="C134" s="11"/>
      <c r="D134" s="11">
        <v>-1</v>
      </c>
      <c r="E134" s="201"/>
      <c r="F134" s="255">
        <f>IF(D134=-1,-1,VLOOKUP(D134,Data_Descriptions!$A:$B,2,0))</f>
        <v>-1</v>
      </c>
      <c r="G134" s="11">
        <v>-1</v>
      </c>
      <c r="H134" s="11"/>
      <c r="I134" s="255">
        <f>IF(G134=-1,-1,VLOOKUP(G134,Data_Descriptions!$A:$B,2,0))</f>
        <v>-1</v>
      </c>
      <c r="J134" s="11"/>
      <c r="K134" s="11"/>
      <c r="L134" s="255"/>
      <c r="M134" s="11"/>
      <c r="N134" s="11"/>
    </row>
    <row r="135" spans="1:14" x14ac:dyDescent="0.2">
      <c r="A135" s="11"/>
      <c r="B135" s="11"/>
      <c r="C135" s="11"/>
      <c r="D135" s="11">
        <v>-1</v>
      </c>
      <c r="E135" s="201"/>
      <c r="F135" s="255">
        <f>IF(D135=-1,-1,VLOOKUP(D135,Data_Descriptions!$A:$B,2,0))</f>
        <v>-1</v>
      </c>
      <c r="G135" s="11">
        <v>-1</v>
      </c>
      <c r="H135" s="11"/>
      <c r="I135" s="255">
        <f>IF(G135=-1,-1,VLOOKUP(G135,Data_Descriptions!$A:$B,2,0))</f>
        <v>-1</v>
      </c>
      <c r="J135" s="11"/>
      <c r="K135" s="11"/>
      <c r="L135" s="255"/>
      <c r="M135" s="11"/>
      <c r="N135" s="11"/>
    </row>
    <row r="136" spans="1:14" x14ac:dyDescent="0.2">
      <c r="A136" s="11"/>
      <c r="B136" s="11"/>
      <c r="C136" s="11"/>
      <c r="D136" s="11">
        <v>-1</v>
      </c>
      <c r="E136" s="201"/>
      <c r="F136" s="255">
        <f>IF(D136=-1,-1,VLOOKUP(D136,Data_Descriptions!$A:$B,2,0))</f>
        <v>-1</v>
      </c>
      <c r="G136" s="11">
        <v>-1</v>
      </c>
      <c r="H136" s="11"/>
      <c r="I136" s="255">
        <f>IF(G136=-1,-1,VLOOKUP(G136,Data_Descriptions!$A:$B,2,0))</f>
        <v>-1</v>
      </c>
      <c r="J136" s="11"/>
      <c r="K136" s="11"/>
      <c r="L136" s="255"/>
      <c r="M136" s="11"/>
      <c r="N136" s="11"/>
    </row>
    <row r="137" spans="1:14" x14ac:dyDescent="0.2">
      <c r="A137" s="11"/>
      <c r="B137" s="11"/>
      <c r="C137" s="11"/>
      <c r="D137" s="11">
        <v>-1</v>
      </c>
      <c r="E137" s="201"/>
      <c r="F137" s="255">
        <f>IF(D137=-1,-1,VLOOKUP(D137,Data_Descriptions!$A:$B,2,0))</f>
        <v>-1</v>
      </c>
      <c r="G137" s="11">
        <v>-1</v>
      </c>
      <c r="H137" s="11"/>
      <c r="I137" s="255">
        <f>IF(G137=-1,-1,VLOOKUP(G137,Data_Descriptions!$A:$B,2,0))</f>
        <v>-1</v>
      </c>
      <c r="J137" s="11"/>
      <c r="K137" s="11"/>
      <c r="L137" s="255"/>
      <c r="M137" s="11"/>
      <c r="N137" s="11"/>
    </row>
    <row r="138" spans="1:14" x14ac:dyDescent="0.2">
      <c r="A138" s="11"/>
      <c r="B138" s="11"/>
      <c r="C138" s="11"/>
      <c r="D138" s="11">
        <v>-1</v>
      </c>
      <c r="E138" s="201"/>
      <c r="F138" s="255">
        <f>IF(D138=-1,-1,VLOOKUP(D138,Data_Descriptions!$A:$B,2,0))</f>
        <v>-1</v>
      </c>
      <c r="G138" s="11">
        <v>-1</v>
      </c>
      <c r="H138" s="11"/>
      <c r="I138" s="255">
        <f>IF(G138=-1,-1,VLOOKUP(G138,Data_Descriptions!$A:$B,2,0))</f>
        <v>-1</v>
      </c>
      <c r="J138" s="11"/>
      <c r="K138" s="11"/>
      <c r="L138" s="255"/>
      <c r="M138" s="11"/>
      <c r="N138" s="11"/>
    </row>
    <row r="139" spans="1:14" x14ac:dyDescent="0.2">
      <c r="A139" s="11"/>
      <c r="B139" s="11"/>
      <c r="C139" s="11"/>
      <c r="D139" s="11">
        <v>-1</v>
      </c>
      <c r="E139" s="201"/>
      <c r="F139" s="255">
        <f>IF(D139=-1,-1,VLOOKUP(D139,Data_Descriptions!$A:$B,2,0))</f>
        <v>-1</v>
      </c>
      <c r="G139" s="11">
        <v>-1</v>
      </c>
      <c r="H139" s="11"/>
      <c r="I139" s="255">
        <f>IF(G139=-1,-1,VLOOKUP(G139,Data_Descriptions!$A:$B,2,0))</f>
        <v>-1</v>
      </c>
      <c r="J139" s="11"/>
      <c r="K139" s="11"/>
      <c r="L139" s="255"/>
      <c r="M139" s="11"/>
      <c r="N139" s="11"/>
    </row>
    <row r="140" spans="1:14" x14ac:dyDescent="0.2">
      <c r="A140" s="11"/>
      <c r="B140" s="11"/>
      <c r="C140" s="11"/>
      <c r="D140" s="11">
        <v>-1</v>
      </c>
      <c r="E140" s="201"/>
      <c r="F140" s="255">
        <f>IF(D140=-1,-1,VLOOKUP(D140,Data_Descriptions!$A:$B,2,0))</f>
        <v>-1</v>
      </c>
      <c r="G140" s="11">
        <v>-1</v>
      </c>
      <c r="H140" s="11"/>
      <c r="I140" s="255">
        <f>IF(G140=-1,-1,VLOOKUP(G140,Data_Descriptions!$A:$B,2,0))</f>
        <v>-1</v>
      </c>
      <c r="J140" s="11"/>
      <c r="K140" s="11"/>
      <c r="L140" s="255"/>
      <c r="M140" s="11"/>
      <c r="N140" s="11"/>
    </row>
    <row r="141" spans="1:14" x14ac:dyDescent="0.2">
      <c r="A141" s="11"/>
      <c r="B141" s="11"/>
      <c r="C141" s="11"/>
      <c r="D141" s="11">
        <v>-1</v>
      </c>
      <c r="E141" s="201"/>
      <c r="F141" s="255">
        <f>IF(D141=-1,-1,VLOOKUP(D141,Data_Descriptions!$A:$B,2,0))</f>
        <v>-1</v>
      </c>
      <c r="G141" s="11">
        <v>-1</v>
      </c>
      <c r="H141" s="11"/>
      <c r="I141" s="255">
        <f>IF(G141=-1,-1,VLOOKUP(G141,Data_Descriptions!$A:$B,2,0))</f>
        <v>-1</v>
      </c>
      <c r="J141" s="11"/>
      <c r="K141" s="11"/>
      <c r="L141" s="255"/>
      <c r="M141" s="11"/>
      <c r="N141" s="11"/>
    </row>
    <row r="142" spans="1:14" x14ac:dyDescent="0.2">
      <c r="A142" s="11"/>
      <c r="B142" s="11"/>
      <c r="C142" s="11"/>
      <c r="D142" s="11">
        <v>-1</v>
      </c>
      <c r="E142" s="201"/>
      <c r="F142" s="255">
        <f>IF(D142=-1,-1,VLOOKUP(D142,Data_Descriptions!$A:$B,2,0))</f>
        <v>-1</v>
      </c>
      <c r="G142" s="11">
        <v>-1</v>
      </c>
      <c r="H142" s="11"/>
      <c r="I142" s="255">
        <f>IF(G142=-1,-1,VLOOKUP(G142,Data_Descriptions!$A:$B,2,0))</f>
        <v>-1</v>
      </c>
      <c r="J142" s="11"/>
      <c r="K142" s="11"/>
      <c r="L142" s="255"/>
      <c r="M142" s="11"/>
      <c r="N142" s="11"/>
    </row>
    <row r="143" spans="1:14" x14ac:dyDescent="0.2">
      <c r="A143" s="11"/>
      <c r="B143" s="11"/>
      <c r="C143" s="11"/>
      <c r="D143" s="11">
        <v>-1</v>
      </c>
      <c r="E143" s="201"/>
      <c r="F143" s="255">
        <f>IF(D143=-1,-1,VLOOKUP(D143,Data_Descriptions!$A:$B,2,0))</f>
        <v>-1</v>
      </c>
      <c r="G143" s="11">
        <v>-1</v>
      </c>
      <c r="H143" s="11"/>
      <c r="I143" s="255">
        <f>IF(G143=-1,-1,VLOOKUP(G143,Data_Descriptions!$A:$B,2,0))</f>
        <v>-1</v>
      </c>
      <c r="J143" s="11"/>
      <c r="K143" s="11"/>
      <c r="L143" s="255"/>
      <c r="M143" s="11"/>
      <c r="N143" s="11"/>
    </row>
    <row r="144" spans="1:14" x14ac:dyDescent="0.2">
      <c r="A144" s="11"/>
      <c r="B144" s="11"/>
      <c r="C144" s="11"/>
      <c r="D144" s="11">
        <v>-1</v>
      </c>
      <c r="E144" s="201"/>
      <c r="F144" s="255">
        <f>IF(D144=-1,-1,VLOOKUP(D144,Data_Descriptions!$A:$B,2,0))</f>
        <v>-1</v>
      </c>
      <c r="G144" s="11">
        <v>-1</v>
      </c>
      <c r="H144" s="11"/>
      <c r="I144" s="255">
        <f>IF(G144=-1,-1,VLOOKUP(G144,Data_Descriptions!$A:$B,2,0))</f>
        <v>-1</v>
      </c>
      <c r="J144" s="11"/>
      <c r="K144" s="11"/>
      <c r="L144" s="255"/>
      <c r="M144" s="11"/>
      <c r="N144" s="11"/>
    </row>
    <row r="145" spans="1:14" x14ac:dyDescent="0.2">
      <c r="A145" s="11"/>
      <c r="B145" s="11"/>
      <c r="C145" s="11"/>
      <c r="D145" s="11">
        <v>-1</v>
      </c>
      <c r="E145" s="201"/>
      <c r="F145" s="255">
        <f>IF(D145=-1,-1,VLOOKUP(D145,Data_Descriptions!$A:$B,2,0))</f>
        <v>-1</v>
      </c>
      <c r="G145" s="11">
        <v>-1</v>
      </c>
      <c r="H145" s="11"/>
      <c r="I145" s="255">
        <f>IF(G145=-1,-1,VLOOKUP(G145,Data_Descriptions!$A:$B,2,0))</f>
        <v>-1</v>
      </c>
      <c r="J145" s="11"/>
      <c r="K145" s="11"/>
      <c r="L145" s="255"/>
      <c r="M145" s="11"/>
      <c r="N145" s="11"/>
    </row>
    <row r="146" spans="1:14" x14ac:dyDescent="0.2">
      <c r="A146" s="11"/>
      <c r="B146" s="11"/>
      <c r="C146" s="11"/>
      <c r="D146" s="11">
        <v>-1</v>
      </c>
      <c r="E146" s="201"/>
      <c r="F146" s="255">
        <f>IF(D146=-1,-1,VLOOKUP(D146,Data_Descriptions!$A:$B,2,0))</f>
        <v>-1</v>
      </c>
      <c r="G146" s="11">
        <v>-1</v>
      </c>
      <c r="H146" s="11"/>
      <c r="I146" s="255">
        <f>IF(G146=-1,-1,VLOOKUP(G146,Data_Descriptions!$A:$B,2,0))</f>
        <v>-1</v>
      </c>
      <c r="J146" s="11"/>
      <c r="K146" s="11"/>
      <c r="L146" s="255"/>
      <c r="M146" s="11"/>
      <c r="N146" s="11"/>
    </row>
    <row r="147" spans="1:14" x14ac:dyDescent="0.2">
      <c r="A147" s="11"/>
      <c r="B147" s="11"/>
      <c r="C147" s="11"/>
      <c r="D147" s="11">
        <v>-1</v>
      </c>
      <c r="E147" s="201"/>
      <c r="F147" s="255">
        <f>IF(D147=-1,-1,VLOOKUP(D147,Data_Descriptions!$A:$B,2,0))</f>
        <v>-1</v>
      </c>
      <c r="G147" s="11">
        <v>-1</v>
      </c>
      <c r="H147" s="11"/>
      <c r="I147" s="255">
        <f>IF(G147=-1,-1,VLOOKUP(G147,Data_Descriptions!$A:$B,2,0))</f>
        <v>-1</v>
      </c>
      <c r="J147" s="11"/>
      <c r="K147" s="11"/>
      <c r="L147" s="255"/>
      <c r="M147" s="11"/>
      <c r="N147" s="11"/>
    </row>
    <row r="148" spans="1:14" x14ac:dyDescent="0.2">
      <c r="A148" s="11"/>
      <c r="B148" s="11"/>
      <c r="C148" s="11"/>
      <c r="D148" s="11">
        <v>-1</v>
      </c>
      <c r="E148" s="201"/>
      <c r="F148" s="255">
        <f>IF(D148=-1,-1,VLOOKUP(D148,Data_Descriptions!$A:$B,2,0))</f>
        <v>-1</v>
      </c>
      <c r="G148" s="11">
        <v>-1</v>
      </c>
      <c r="H148" s="11"/>
      <c r="I148" s="255">
        <f>IF(G148=-1,-1,VLOOKUP(G148,Data_Descriptions!$A:$B,2,0))</f>
        <v>-1</v>
      </c>
      <c r="J148" s="11"/>
      <c r="K148" s="11"/>
      <c r="L148" s="255"/>
      <c r="M148" s="11"/>
      <c r="N148" s="11"/>
    </row>
    <row r="149" spans="1:14" x14ac:dyDescent="0.2">
      <c r="A149" s="11"/>
      <c r="B149" s="11"/>
      <c r="C149" s="11"/>
      <c r="D149" s="11">
        <v>-1</v>
      </c>
      <c r="E149" s="201"/>
      <c r="F149" s="255">
        <f>IF(D149=-1,-1,VLOOKUP(D149,Data_Descriptions!$A:$B,2,0))</f>
        <v>-1</v>
      </c>
      <c r="G149" s="11">
        <v>-1</v>
      </c>
      <c r="H149" s="11"/>
      <c r="I149" s="255">
        <f>IF(G149=-1,-1,VLOOKUP(G149,Data_Descriptions!$A:$B,2,0))</f>
        <v>-1</v>
      </c>
      <c r="J149" s="11"/>
      <c r="K149" s="11"/>
      <c r="L149" s="255"/>
      <c r="M149" s="11"/>
      <c r="N149" s="11"/>
    </row>
    <row r="150" spans="1:14" x14ac:dyDescent="0.2">
      <c r="A150" s="11"/>
      <c r="B150" s="11"/>
      <c r="C150" s="11"/>
      <c r="D150" s="11">
        <v>-1</v>
      </c>
      <c r="E150" s="201"/>
      <c r="F150" s="255">
        <f>IF(D150=-1,-1,VLOOKUP(D150,Data_Descriptions!$A:$B,2,0))</f>
        <v>-1</v>
      </c>
      <c r="G150" s="11">
        <v>-1</v>
      </c>
      <c r="H150" s="11"/>
      <c r="I150" s="255">
        <f>IF(G150=-1,-1,VLOOKUP(G150,Data_Descriptions!$A:$B,2,0))</f>
        <v>-1</v>
      </c>
      <c r="J150" s="11"/>
      <c r="K150" s="11"/>
      <c r="L150" s="255"/>
      <c r="M150" s="11"/>
      <c r="N150" s="11"/>
    </row>
    <row r="151" spans="1:14" x14ac:dyDescent="0.2">
      <c r="A151" s="11"/>
      <c r="B151" s="11"/>
      <c r="C151" s="11"/>
      <c r="D151" s="11">
        <v>-1</v>
      </c>
      <c r="E151" s="201"/>
      <c r="F151" s="255">
        <f>IF(D151=-1,-1,VLOOKUP(D151,Data_Descriptions!$A:$B,2,0))</f>
        <v>-1</v>
      </c>
      <c r="G151" s="11">
        <v>-1</v>
      </c>
      <c r="H151" s="11"/>
      <c r="I151" s="255">
        <f>IF(G151=-1,-1,VLOOKUP(G151,Data_Descriptions!$A:$B,2,0))</f>
        <v>-1</v>
      </c>
      <c r="J151" s="11"/>
      <c r="K151" s="11"/>
      <c r="L151" s="255"/>
      <c r="M151" s="11"/>
      <c r="N151" s="11"/>
    </row>
    <row r="152" spans="1:14" x14ac:dyDescent="0.2">
      <c r="A152" s="11"/>
      <c r="B152" s="11"/>
      <c r="C152" s="11"/>
      <c r="D152" s="11">
        <v>-1</v>
      </c>
      <c r="E152" s="201"/>
      <c r="F152" s="255">
        <f>IF(D152=-1,-1,VLOOKUP(D152,Data_Descriptions!$A:$B,2,0))</f>
        <v>-1</v>
      </c>
      <c r="G152" s="11">
        <v>-1</v>
      </c>
      <c r="H152" s="11"/>
      <c r="I152" s="255">
        <f>IF(G152=-1,-1,VLOOKUP(G152,Data_Descriptions!$A:$B,2,0))</f>
        <v>-1</v>
      </c>
      <c r="J152" s="11"/>
      <c r="K152" s="11"/>
      <c r="L152" s="255"/>
      <c r="M152" s="11"/>
      <c r="N152" s="11"/>
    </row>
    <row r="153" spans="1:14" x14ac:dyDescent="0.2">
      <c r="A153" s="11"/>
      <c r="B153" s="11"/>
      <c r="C153" s="11"/>
      <c r="D153" s="11">
        <v>-1</v>
      </c>
      <c r="E153" s="201"/>
      <c r="F153" s="255">
        <f>IF(D153=-1,-1,VLOOKUP(D153,Data_Descriptions!$A:$B,2,0))</f>
        <v>-1</v>
      </c>
      <c r="G153" s="11">
        <v>-1</v>
      </c>
      <c r="H153" s="11"/>
      <c r="I153" s="255">
        <f>IF(G153=-1,-1,VLOOKUP(G153,Data_Descriptions!$A:$B,2,0))</f>
        <v>-1</v>
      </c>
      <c r="J153" s="11"/>
      <c r="K153" s="11"/>
      <c r="L153" s="255"/>
      <c r="M153" s="11"/>
      <c r="N153" s="11"/>
    </row>
    <row r="154" spans="1:14" x14ac:dyDescent="0.2">
      <c r="A154" s="11"/>
      <c r="B154" s="11"/>
      <c r="C154" s="11"/>
      <c r="D154" s="11">
        <v>-1</v>
      </c>
      <c r="E154" s="201"/>
      <c r="F154" s="255">
        <f>IF(D154=-1,-1,VLOOKUP(D154,Data_Descriptions!$A:$B,2,0))</f>
        <v>-1</v>
      </c>
      <c r="G154" s="11">
        <v>-1</v>
      </c>
      <c r="H154" s="11"/>
      <c r="I154" s="255">
        <f>IF(G154=-1,-1,VLOOKUP(G154,Data_Descriptions!$A:$B,2,0))</f>
        <v>-1</v>
      </c>
      <c r="J154" s="11"/>
      <c r="K154" s="11"/>
      <c r="L154" s="255"/>
      <c r="M154" s="11"/>
      <c r="N154" s="11"/>
    </row>
    <row r="155" spans="1:14" x14ac:dyDescent="0.2">
      <c r="A155" s="11"/>
      <c r="B155" s="11"/>
      <c r="C155" s="11"/>
      <c r="D155" s="11">
        <v>-1</v>
      </c>
      <c r="E155" s="201"/>
      <c r="F155" s="255">
        <f>IF(D155=-1,-1,VLOOKUP(D155,Data_Descriptions!$A:$B,2,0))</f>
        <v>-1</v>
      </c>
      <c r="G155" s="11">
        <v>-1</v>
      </c>
      <c r="H155" s="11"/>
      <c r="I155" s="255">
        <f>IF(G155=-1,-1,VLOOKUP(G155,Data_Descriptions!$A:$B,2,0))</f>
        <v>-1</v>
      </c>
      <c r="J155" s="11"/>
      <c r="K155" s="11"/>
      <c r="L155" s="255"/>
      <c r="M155" s="11"/>
      <c r="N155" s="11"/>
    </row>
    <row r="156" spans="1:14" x14ac:dyDescent="0.2">
      <c r="A156" s="11"/>
      <c r="B156" s="11"/>
      <c r="C156" s="11"/>
      <c r="D156" s="11">
        <v>-1</v>
      </c>
      <c r="E156" s="201"/>
      <c r="F156" s="255">
        <f>IF(D156=-1,-1,VLOOKUP(D156,Data_Descriptions!$A:$B,2,0))</f>
        <v>-1</v>
      </c>
      <c r="G156" s="11">
        <v>-1</v>
      </c>
      <c r="H156" s="11"/>
      <c r="I156" s="255">
        <f>IF(G156=-1,-1,VLOOKUP(G156,Data_Descriptions!$A:$B,2,0))</f>
        <v>-1</v>
      </c>
      <c r="J156" s="11"/>
      <c r="K156" s="11"/>
      <c r="L156" s="255"/>
      <c r="M156" s="11"/>
      <c r="N156" s="11"/>
    </row>
    <row r="157" spans="1:14" x14ac:dyDescent="0.2">
      <c r="A157" s="11"/>
      <c r="B157" s="11"/>
      <c r="C157" s="11"/>
      <c r="D157" s="11">
        <v>-1</v>
      </c>
      <c r="E157" s="201"/>
      <c r="F157" s="255">
        <f>IF(D157=-1,-1,VLOOKUP(D157,Data_Descriptions!$A:$B,2,0))</f>
        <v>-1</v>
      </c>
      <c r="G157" s="11">
        <v>-1</v>
      </c>
      <c r="H157" s="11"/>
      <c r="I157" s="255">
        <f>IF(G157=-1,-1,VLOOKUP(G157,Data_Descriptions!$A:$B,2,0))</f>
        <v>-1</v>
      </c>
      <c r="J157" s="11"/>
      <c r="K157" s="11"/>
      <c r="L157" s="255"/>
      <c r="M157" s="11"/>
      <c r="N157" s="11"/>
    </row>
    <row r="158" spans="1:14" x14ac:dyDescent="0.2">
      <c r="A158" s="11"/>
      <c r="B158" s="11"/>
      <c r="C158" s="11"/>
      <c r="D158" s="11">
        <v>-1</v>
      </c>
      <c r="E158" s="201"/>
      <c r="F158" s="255">
        <f>IF(D158=-1,-1,VLOOKUP(D158,Data_Descriptions!$A:$B,2,0))</f>
        <v>-1</v>
      </c>
      <c r="G158" s="11">
        <v>-1</v>
      </c>
      <c r="H158" s="11"/>
      <c r="I158" s="255">
        <f>IF(G158=-1,-1,VLOOKUP(G158,Data_Descriptions!$A:$B,2,0))</f>
        <v>-1</v>
      </c>
      <c r="J158" s="11"/>
      <c r="K158" s="11"/>
      <c r="L158" s="255"/>
      <c r="M158" s="11"/>
      <c r="N158" s="11"/>
    </row>
    <row r="159" spans="1:14" x14ac:dyDescent="0.2">
      <c r="A159" s="11"/>
      <c r="B159" s="11"/>
      <c r="C159" s="11"/>
      <c r="D159" s="11">
        <v>-1</v>
      </c>
      <c r="E159" s="201"/>
      <c r="F159" s="255">
        <f>IF(D159=-1,-1,VLOOKUP(D159,Data_Descriptions!$A:$B,2,0))</f>
        <v>-1</v>
      </c>
      <c r="G159" s="11">
        <v>-1</v>
      </c>
      <c r="H159" s="11"/>
      <c r="I159" s="255">
        <f>IF(G159=-1,-1,VLOOKUP(G159,Data_Descriptions!$A:$B,2,0))</f>
        <v>-1</v>
      </c>
      <c r="J159" s="11"/>
      <c r="K159" s="11"/>
      <c r="L159" s="255"/>
      <c r="M159" s="11"/>
      <c r="N159" s="11"/>
    </row>
    <row r="160" spans="1:14" x14ac:dyDescent="0.2">
      <c r="A160" s="11"/>
      <c r="B160" s="11"/>
      <c r="C160" s="11"/>
      <c r="D160" s="11">
        <v>-1</v>
      </c>
      <c r="E160" s="201"/>
      <c r="F160" s="255">
        <f>IF(D160=-1,-1,VLOOKUP(D160,Data_Descriptions!$A:$B,2,0))</f>
        <v>-1</v>
      </c>
      <c r="G160" s="11">
        <v>-1</v>
      </c>
      <c r="H160" s="11"/>
      <c r="I160" s="255">
        <f>IF(G160=-1,-1,VLOOKUP(G160,Data_Descriptions!$A:$B,2,0))</f>
        <v>-1</v>
      </c>
      <c r="J160" s="11"/>
      <c r="K160" s="11"/>
      <c r="L160" s="255"/>
      <c r="M160" s="11"/>
      <c r="N160" s="11"/>
    </row>
    <row r="161" spans="1:14" x14ac:dyDescent="0.2">
      <c r="A161" s="11"/>
      <c r="B161" s="11"/>
      <c r="C161" s="11"/>
      <c r="D161" s="11">
        <v>-1</v>
      </c>
      <c r="E161" s="201"/>
      <c r="F161" s="255">
        <f>IF(D161=-1,-1,VLOOKUP(D161,Data_Descriptions!$A:$B,2,0))</f>
        <v>-1</v>
      </c>
      <c r="G161" s="11">
        <v>-1</v>
      </c>
      <c r="H161" s="11"/>
      <c r="I161" s="255">
        <f>IF(G161=-1,-1,VLOOKUP(G161,Data_Descriptions!$A:$B,2,0))</f>
        <v>-1</v>
      </c>
      <c r="J161" s="11"/>
      <c r="K161" s="11"/>
      <c r="L161" s="255"/>
      <c r="M161" s="11"/>
      <c r="N161" s="11"/>
    </row>
    <row r="162" spans="1:14" x14ac:dyDescent="0.2">
      <c r="A162" s="11"/>
      <c r="B162" s="11"/>
      <c r="C162" s="11"/>
      <c r="D162" s="11">
        <v>-1</v>
      </c>
      <c r="E162" s="201"/>
      <c r="F162" s="255">
        <f>IF(D162=-1,-1,VLOOKUP(D162,Data_Descriptions!$A:$B,2,0))</f>
        <v>-1</v>
      </c>
      <c r="G162" s="11">
        <v>-1</v>
      </c>
      <c r="H162" s="11"/>
      <c r="I162" s="255">
        <f>IF(G162=-1,-1,VLOOKUP(G162,Data_Descriptions!$A:$B,2,0))</f>
        <v>-1</v>
      </c>
      <c r="J162" s="11"/>
      <c r="K162" s="11"/>
      <c r="L162" s="255"/>
      <c r="M162" s="11"/>
      <c r="N162" s="11"/>
    </row>
    <row r="163" spans="1:14" x14ac:dyDescent="0.2">
      <c r="A163" s="11"/>
      <c r="B163" s="11"/>
      <c r="C163" s="11"/>
      <c r="D163" s="11">
        <v>-1</v>
      </c>
      <c r="E163" s="201"/>
      <c r="F163" s="255">
        <f>IF(D163=-1,-1,VLOOKUP(D163,Data_Descriptions!$A:$B,2,0))</f>
        <v>-1</v>
      </c>
      <c r="G163" s="11">
        <v>-1</v>
      </c>
      <c r="H163" s="11"/>
      <c r="I163" s="255">
        <f>IF(G163=-1,-1,VLOOKUP(G163,Data_Descriptions!$A:$B,2,0))</f>
        <v>-1</v>
      </c>
      <c r="J163" s="11"/>
      <c r="K163" s="11"/>
      <c r="L163" s="255"/>
      <c r="M163" s="11"/>
      <c r="N163" s="11"/>
    </row>
    <row r="164" spans="1:14" x14ac:dyDescent="0.2">
      <c r="A164" s="11"/>
      <c r="B164" s="11"/>
      <c r="C164" s="11"/>
      <c r="D164" s="11">
        <v>-1</v>
      </c>
      <c r="E164" s="201"/>
      <c r="F164" s="255">
        <f>IF(D164=-1,-1,VLOOKUP(D164,Data_Descriptions!$A:$B,2,0))</f>
        <v>-1</v>
      </c>
      <c r="G164" s="11">
        <v>-1</v>
      </c>
      <c r="H164" s="11"/>
      <c r="I164" s="255">
        <f>IF(G164=-1,-1,VLOOKUP(G164,Data_Descriptions!$A:$B,2,0))</f>
        <v>-1</v>
      </c>
      <c r="J164" s="11"/>
      <c r="K164" s="11"/>
      <c r="L164" s="255"/>
      <c r="M164" s="11"/>
      <c r="N164" s="11"/>
    </row>
    <row r="165" spans="1:14" x14ac:dyDescent="0.2">
      <c r="A165" s="11"/>
      <c r="B165" s="11"/>
      <c r="C165" s="11"/>
      <c r="D165" s="11">
        <v>-1</v>
      </c>
      <c r="E165" s="201"/>
      <c r="F165" s="255">
        <f>IF(D165=-1,-1,VLOOKUP(D165,Data_Descriptions!$A:$B,2,0))</f>
        <v>-1</v>
      </c>
      <c r="G165" s="11">
        <v>-1</v>
      </c>
      <c r="H165" s="11"/>
      <c r="I165" s="255">
        <f>IF(G165=-1,-1,VLOOKUP(G165,Data_Descriptions!$A:$B,2,0))</f>
        <v>-1</v>
      </c>
      <c r="J165" s="11"/>
      <c r="K165" s="11"/>
      <c r="L165" s="255"/>
      <c r="M165" s="11"/>
      <c r="N165" s="11"/>
    </row>
    <row r="166" spans="1:14" x14ac:dyDescent="0.2">
      <c r="A166" s="11"/>
      <c r="B166" s="11"/>
      <c r="C166" s="11"/>
      <c r="D166" s="11">
        <v>-1</v>
      </c>
      <c r="E166" s="201"/>
      <c r="F166" s="255">
        <f>IF(D166=-1,-1,VLOOKUP(D166,Data_Descriptions!$A:$B,2,0))</f>
        <v>-1</v>
      </c>
      <c r="G166" s="11">
        <v>-1</v>
      </c>
      <c r="H166" s="11"/>
      <c r="I166" s="255">
        <f>IF(G166=-1,-1,VLOOKUP(G166,Data_Descriptions!$A:$B,2,0))</f>
        <v>-1</v>
      </c>
      <c r="J166" s="11"/>
      <c r="K166" s="11"/>
      <c r="L166" s="255"/>
      <c r="M166" s="11"/>
      <c r="N166" s="11"/>
    </row>
    <row r="167" spans="1:14" x14ac:dyDescent="0.2">
      <c r="A167" s="11"/>
      <c r="B167" s="11"/>
      <c r="C167" s="11"/>
      <c r="D167" s="11">
        <v>-1</v>
      </c>
      <c r="E167" s="201"/>
      <c r="F167" s="255">
        <f>IF(D167=-1,-1,VLOOKUP(D167,Data_Descriptions!$A:$B,2,0))</f>
        <v>-1</v>
      </c>
      <c r="G167" s="11">
        <v>-1</v>
      </c>
      <c r="H167" s="11"/>
      <c r="I167" s="255">
        <f>IF(G167=-1,-1,VLOOKUP(G167,Data_Descriptions!$A:$B,2,0))</f>
        <v>-1</v>
      </c>
      <c r="J167" s="11"/>
      <c r="K167" s="11"/>
      <c r="L167" s="255"/>
      <c r="M167" s="11"/>
      <c r="N167" s="11"/>
    </row>
    <row r="168" spans="1:14" x14ac:dyDescent="0.2">
      <c r="A168" s="11"/>
      <c r="B168" s="11"/>
      <c r="C168" s="11"/>
      <c r="D168" s="11">
        <v>-1</v>
      </c>
      <c r="E168" s="201"/>
      <c r="F168" s="255">
        <f>IF(D168=-1,-1,VLOOKUP(D168,Data_Descriptions!$A:$B,2,0))</f>
        <v>-1</v>
      </c>
      <c r="G168" s="11">
        <v>-1</v>
      </c>
      <c r="H168" s="11"/>
      <c r="I168" s="255">
        <f>IF(G168=-1,-1,VLOOKUP(G168,Data_Descriptions!$A:$B,2,0))</f>
        <v>-1</v>
      </c>
      <c r="J168" s="11"/>
      <c r="K168" s="11"/>
      <c r="L168" s="255"/>
      <c r="M168" s="11"/>
      <c r="N168" s="11"/>
    </row>
    <row r="169" spans="1:14" x14ac:dyDescent="0.2">
      <c r="A169" s="11"/>
      <c r="B169" s="11"/>
      <c r="C169" s="11"/>
      <c r="D169" s="11">
        <v>-1</v>
      </c>
      <c r="E169" s="201"/>
      <c r="F169" s="255">
        <f>IF(D169=-1,-1,VLOOKUP(D169,Data_Descriptions!$A:$B,2,0))</f>
        <v>-1</v>
      </c>
      <c r="G169" s="11">
        <v>-1</v>
      </c>
      <c r="H169" s="11"/>
      <c r="I169" s="255">
        <f>IF(G169=-1,-1,VLOOKUP(G169,Data_Descriptions!$A:$B,2,0))</f>
        <v>-1</v>
      </c>
      <c r="J169" s="11"/>
      <c r="K169" s="11"/>
      <c r="L169" s="255"/>
      <c r="M169" s="11"/>
      <c r="N169" s="11"/>
    </row>
    <row r="170" spans="1:14" x14ac:dyDescent="0.2">
      <c r="A170" s="11"/>
      <c r="B170" s="11"/>
      <c r="C170" s="11"/>
      <c r="D170" s="11">
        <v>-1</v>
      </c>
      <c r="E170" s="201"/>
      <c r="F170" s="255">
        <f>IF(D170=-1,-1,VLOOKUP(D170,Data_Descriptions!$A:$B,2,0))</f>
        <v>-1</v>
      </c>
      <c r="G170" s="11">
        <v>-1</v>
      </c>
      <c r="H170" s="11"/>
      <c r="I170" s="255">
        <f>IF(G170=-1,-1,VLOOKUP(G170,Data_Descriptions!$A:$B,2,0))</f>
        <v>-1</v>
      </c>
      <c r="J170" s="11"/>
      <c r="K170" s="11"/>
      <c r="L170" s="255"/>
      <c r="M170" s="11"/>
      <c r="N170" s="11"/>
    </row>
    <row r="171" spans="1:14" x14ac:dyDescent="0.2">
      <c r="A171" s="11"/>
      <c r="B171" s="11"/>
      <c r="C171" s="11"/>
      <c r="D171" s="11">
        <v>-1</v>
      </c>
      <c r="E171" s="201"/>
      <c r="F171" s="255">
        <f>IF(D171=-1,-1,VLOOKUP(D171,Data_Descriptions!$A:$B,2,0))</f>
        <v>-1</v>
      </c>
      <c r="G171" s="11">
        <v>-1</v>
      </c>
      <c r="H171" s="11"/>
      <c r="I171" s="255">
        <f>IF(G171=-1,-1,VLOOKUP(G171,Data_Descriptions!$A:$B,2,0))</f>
        <v>-1</v>
      </c>
      <c r="J171" s="11"/>
      <c r="K171" s="11"/>
      <c r="L171" s="255"/>
      <c r="M171" s="11"/>
      <c r="N171" s="11"/>
    </row>
    <row r="172" spans="1:14" x14ac:dyDescent="0.2">
      <c r="A172" s="11"/>
      <c r="B172" s="11"/>
      <c r="C172" s="11"/>
      <c r="D172" s="11">
        <v>-1</v>
      </c>
      <c r="E172" s="201"/>
      <c r="F172" s="255">
        <f>IF(D172=-1,-1,VLOOKUP(D172,Data_Descriptions!$A:$B,2,0))</f>
        <v>-1</v>
      </c>
      <c r="G172" s="11">
        <v>-1</v>
      </c>
      <c r="H172" s="11"/>
      <c r="I172" s="255">
        <f>IF(G172=-1,-1,VLOOKUP(G172,Data_Descriptions!$A:$B,2,0))</f>
        <v>-1</v>
      </c>
      <c r="J172" s="11"/>
      <c r="K172" s="11"/>
      <c r="L172" s="255"/>
      <c r="M172" s="11"/>
      <c r="N172" s="11"/>
    </row>
    <row r="173" spans="1:14" x14ac:dyDescent="0.2">
      <c r="A173" s="11"/>
      <c r="B173" s="11"/>
      <c r="C173" s="11"/>
      <c r="D173" s="11">
        <v>-1</v>
      </c>
      <c r="E173" s="201"/>
      <c r="F173" s="255">
        <f>IF(D173=-1,-1,VLOOKUP(D173,Data_Descriptions!$A:$B,2,0))</f>
        <v>-1</v>
      </c>
      <c r="G173" s="11">
        <v>-1</v>
      </c>
      <c r="H173" s="11"/>
      <c r="I173" s="255">
        <f>IF(G173=-1,-1,VLOOKUP(G173,Data_Descriptions!$A:$B,2,0))</f>
        <v>-1</v>
      </c>
      <c r="J173" s="11"/>
      <c r="K173" s="11"/>
      <c r="L173" s="255"/>
      <c r="M173" s="11"/>
      <c r="N173" s="11"/>
    </row>
    <row r="174" spans="1:14" x14ac:dyDescent="0.2">
      <c r="A174" s="11"/>
      <c r="B174" s="11"/>
      <c r="C174" s="11"/>
      <c r="D174" s="11">
        <v>-1</v>
      </c>
      <c r="E174" s="201"/>
      <c r="F174" s="255">
        <f>IF(D174=-1,-1,VLOOKUP(D174,Data_Descriptions!$A:$B,2,0))</f>
        <v>-1</v>
      </c>
      <c r="G174" s="11">
        <v>-1</v>
      </c>
      <c r="H174" s="11"/>
      <c r="I174" s="255">
        <f>IF(G174=-1,-1,VLOOKUP(G174,Data_Descriptions!$A:$B,2,0))</f>
        <v>-1</v>
      </c>
      <c r="J174" s="11"/>
      <c r="K174" s="11"/>
      <c r="L174" s="255"/>
      <c r="M174" s="11"/>
      <c r="N174" s="11"/>
    </row>
    <row r="175" spans="1:14" x14ac:dyDescent="0.2">
      <c r="A175" s="11"/>
      <c r="B175" s="11"/>
      <c r="C175" s="11"/>
      <c r="D175" s="11">
        <v>-1</v>
      </c>
      <c r="E175" s="201"/>
      <c r="F175" s="255">
        <f>IF(D175=-1,-1,VLOOKUP(D175,Data_Descriptions!$A:$B,2,0))</f>
        <v>-1</v>
      </c>
      <c r="G175" s="11">
        <v>-1</v>
      </c>
      <c r="H175" s="11"/>
      <c r="I175" s="255">
        <f>IF(G175=-1,-1,VLOOKUP(G175,Data_Descriptions!$A:$B,2,0))</f>
        <v>-1</v>
      </c>
      <c r="J175" s="11"/>
      <c r="K175" s="11"/>
      <c r="L175" s="255"/>
      <c r="M175" s="11"/>
      <c r="N175" s="11"/>
    </row>
    <row r="176" spans="1:14" x14ac:dyDescent="0.2">
      <c r="A176" s="11"/>
      <c r="B176" s="11"/>
      <c r="C176" s="11"/>
      <c r="D176" s="11">
        <v>-1</v>
      </c>
      <c r="E176" s="201"/>
      <c r="F176" s="255">
        <f>IF(D176=-1,-1,VLOOKUP(D176,Data_Descriptions!$A:$B,2,0))</f>
        <v>-1</v>
      </c>
      <c r="G176" s="11">
        <v>-1</v>
      </c>
      <c r="H176" s="11"/>
      <c r="I176" s="255">
        <f>IF(G176=-1,-1,VLOOKUP(G176,Data_Descriptions!$A:$B,2,0))</f>
        <v>-1</v>
      </c>
      <c r="J176" s="11"/>
      <c r="K176" s="11"/>
      <c r="L176" s="255"/>
      <c r="M176" s="11"/>
      <c r="N176" s="11"/>
    </row>
    <row r="177" spans="1:14" x14ac:dyDescent="0.2">
      <c r="A177" s="11"/>
      <c r="B177" s="11"/>
      <c r="C177" s="11"/>
      <c r="D177" s="11">
        <v>-1</v>
      </c>
      <c r="E177" s="201"/>
      <c r="F177" s="255">
        <f>IF(D177=-1,-1,VLOOKUP(D177,Data_Descriptions!$A:$B,2,0))</f>
        <v>-1</v>
      </c>
      <c r="G177" s="11">
        <v>-1</v>
      </c>
      <c r="H177" s="11"/>
      <c r="I177" s="255">
        <f>IF(G177=-1,-1,VLOOKUP(G177,Data_Descriptions!$A:$B,2,0))</f>
        <v>-1</v>
      </c>
      <c r="J177" s="11"/>
      <c r="K177" s="11"/>
      <c r="L177" s="255"/>
      <c r="M177" s="11"/>
      <c r="N177" s="11"/>
    </row>
    <row r="178" spans="1:14" x14ac:dyDescent="0.2">
      <c r="A178" s="11"/>
      <c r="B178" s="11"/>
      <c r="C178" s="11"/>
      <c r="D178" s="11">
        <v>-1</v>
      </c>
      <c r="E178" s="201"/>
      <c r="F178" s="255">
        <f>IF(D178=-1,-1,VLOOKUP(D178,Data_Descriptions!$A:$B,2,0))</f>
        <v>-1</v>
      </c>
      <c r="G178" s="11">
        <v>-1</v>
      </c>
      <c r="H178" s="11"/>
      <c r="I178" s="255">
        <f>IF(G178=-1,-1,VLOOKUP(G178,Data_Descriptions!$A:$B,2,0))</f>
        <v>-1</v>
      </c>
      <c r="J178" s="11"/>
      <c r="K178" s="11"/>
      <c r="L178" s="255"/>
      <c r="M178" s="11"/>
      <c r="N178" s="11"/>
    </row>
    <row r="179" spans="1:14" x14ac:dyDescent="0.2">
      <c r="A179" s="11"/>
      <c r="B179" s="11"/>
      <c r="C179" s="11"/>
      <c r="D179" s="11">
        <v>-1</v>
      </c>
      <c r="E179" s="201"/>
      <c r="F179" s="255">
        <f>IF(D179=-1,-1,VLOOKUP(D179,Data_Descriptions!$A:$B,2,0))</f>
        <v>-1</v>
      </c>
      <c r="G179" s="11">
        <v>-1</v>
      </c>
      <c r="H179" s="11"/>
      <c r="I179" s="255">
        <f>IF(G179=-1,-1,VLOOKUP(G179,Data_Descriptions!$A:$B,2,0))</f>
        <v>-1</v>
      </c>
      <c r="J179" s="11"/>
      <c r="K179" s="11"/>
      <c r="L179" s="255"/>
      <c r="M179" s="11"/>
      <c r="N179" s="11"/>
    </row>
    <row r="180" spans="1:14" x14ac:dyDescent="0.2">
      <c r="A180" s="11"/>
      <c r="B180" s="11"/>
      <c r="C180" s="11"/>
      <c r="D180" s="11">
        <v>-1</v>
      </c>
      <c r="E180" s="201"/>
      <c r="F180" s="255">
        <f>IF(D180=-1,-1,VLOOKUP(D180,Data_Descriptions!$A:$B,2,0))</f>
        <v>-1</v>
      </c>
      <c r="G180" s="11">
        <v>-1</v>
      </c>
      <c r="H180" s="11"/>
      <c r="I180" s="255">
        <f>IF(G180=-1,-1,VLOOKUP(G180,Data_Descriptions!$A:$B,2,0))</f>
        <v>-1</v>
      </c>
      <c r="J180" s="11"/>
      <c r="K180" s="11"/>
      <c r="L180" s="255"/>
      <c r="M180" s="11"/>
      <c r="N180" s="11"/>
    </row>
    <row r="181" spans="1:14" x14ac:dyDescent="0.2">
      <c r="A181" s="11"/>
      <c r="B181" s="11"/>
      <c r="C181" s="11"/>
      <c r="D181" s="11">
        <v>-1</v>
      </c>
      <c r="E181" s="201"/>
      <c r="F181" s="255">
        <f>IF(D181=-1,-1,VLOOKUP(D181,Data_Descriptions!$A:$B,2,0))</f>
        <v>-1</v>
      </c>
      <c r="G181" s="11">
        <v>-1</v>
      </c>
      <c r="H181" s="11"/>
      <c r="I181" s="255">
        <f>IF(G181=-1,-1,VLOOKUP(G181,Data_Descriptions!$A:$B,2,0))</f>
        <v>-1</v>
      </c>
      <c r="J181" s="11"/>
      <c r="K181" s="11"/>
      <c r="L181" s="255"/>
      <c r="M181" s="11"/>
      <c r="N181" s="11"/>
    </row>
    <row r="182" spans="1:14" x14ac:dyDescent="0.2">
      <c r="A182" s="11"/>
      <c r="B182" s="11"/>
      <c r="C182" s="11"/>
      <c r="D182" s="11">
        <v>-1</v>
      </c>
      <c r="E182" s="201"/>
      <c r="F182" s="255">
        <f>IF(D182=-1,-1,VLOOKUP(D182,Data_Descriptions!$A:$B,2,0))</f>
        <v>-1</v>
      </c>
      <c r="G182" s="11">
        <v>-1</v>
      </c>
      <c r="H182" s="11"/>
      <c r="I182" s="255">
        <f>IF(G182=-1,-1,VLOOKUP(G182,Data_Descriptions!$A:$B,2,0))</f>
        <v>-1</v>
      </c>
      <c r="J182" s="11"/>
      <c r="K182" s="11"/>
      <c r="L182" s="255"/>
      <c r="M182" s="11"/>
      <c r="N182" s="11"/>
    </row>
    <row r="183" spans="1:14" x14ac:dyDescent="0.2">
      <c r="A183" s="11"/>
      <c r="B183" s="11"/>
      <c r="C183" s="11"/>
      <c r="D183" s="11">
        <v>-1</v>
      </c>
      <c r="E183" s="201"/>
      <c r="F183" s="255">
        <f>IF(D183=-1,-1,VLOOKUP(D183,Data_Descriptions!$A:$B,2,0))</f>
        <v>-1</v>
      </c>
      <c r="G183" s="11">
        <v>-1</v>
      </c>
      <c r="H183" s="11"/>
      <c r="I183" s="255">
        <f>IF(G183=-1,-1,VLOOKUP(G183,Data_Descriptions!$A:$B,2,0))</f>
        <v>-1</v>
      </c>
      <c r="J183" s="11"/>
      <c r="K183" s="11"/>
      <c r="L183" s="255"/>
      <c r="M183" s="11"/>
      <c r="N183" s="11"/>
    </row>
    <row r="184" spans="1:14" x14ac:dyDescent="0.2">
      <c r="A184" s="11"/>
      <c r="B184" s="11"/>
      <c r="C184" s="11"/>
      <c r="D184" s="11">
        <v>-1</v>
      </c>
      <c r="E184" s="201"/>
      <c r="F184" s="255">
        <f>IF(D184=-1,-1,VLOOKUP(D184,Data_Descriptions!$A:$B,2,0))</f>
        <v>-1</v>
      </c>
      <c r="G184" s="11">
        <v>-1</v>
      </c>
      <c r="H184" s="11"/>
      <c r="I184" s="255">
        <f>IF(G184=-1,-1,VLOOKUP(G184,Data_Descriptions!$A:$B,2,0))</f>
        <v>-1</v>
      </c>
      <c r="J184" s="11"/>
      <c r="K184" s="11"/>
      <c r="L184" s="255"/>
      <c r="M184" s="11"/>
      <c r="N184" s="11"/>
    </row>
    <row r="185" spans="1:14" x14ac:dyDescent="0.2">
      <c r="A185" s="11"/>
      <c r="B185" s="11"/>
      <c r="C185" s="11"/>
      <c r="D185" s="11">
        <v>-1</v>
      </c>
      <c r="E185" s="201"/>
      <c r="F185" s="255">
        <f>IF(D185=-1,-1,VLOOKUP(D185,Data_Descriptions!$A:$B,2,0))</f>
        <v>-1</v>
      </c>
      <c r="G185" s="11">
        <v>-1</v>
      </c>
      <c r="H185" s="11"/>
      <c r="I185" s="255">
        <f>IF(G185=-1,-1,VLOOKUP(G185,Data_Descriptions!$A:$B,2,0))</f>
        <v>-1</v>
      </c>
      <c r="J185" s="11"/>
      <c r="K185" s="11"/>
      <c r="L185" s="255"/>
      <c r="M185" s="11"/>
      <c r="N185" s="11"/>
    </row>
    <row r="186" spans="1:14" x14ac:dyDescent="0.2">
      <c r="A186" s="11"/>
      <c r="B186" s="11"/>
      <c r="C186" s="11"/>
      <c r="D186" s="11">
        <v>-1</v>
      </c>
      <c r="E186" s="201"/>
      <c r="F186" s="255">
        <f>IF(D186=-1,-1,VLOOKUP(D186,Data_Descriptions!$A:$B,2,0))</f>
        <v>-1</v>
      </c>
      <c r="G186" s="11">
        <v>-1</v>
      </c>
      <c r="H186" s="11"/>
      <c r="I186" s="255">
        <f>IF(G186=-1,-1,VLOOKUP(G186,Data_Descriptions!$A:$B,2,0))</f>
        <v>-1</v>
      </c>
      <c r="J186" s="11"/>
      <c r="K186" s="11"/>
      <c r="L186" s="255"/>
      <c r="M186" s="11"/>
      <c r="N186" s="11"/>
    </row>
    <row r="187" spans="1:14" x14ac:dyDescent="0.2">
      <c r="A187" s="11"/>
      <c r="B187" s="11"/>
      <c r="C187" s="11"/>
      <c r="D187" s="11">
        <v>-1</v>
      </c>
      <c r="E187" s="201"/>
      <c r="F187" s="255">
        <f>IF(D187=-1,-1,VLOOKUP(D187,Data_Descriptions!$A:$B,2,0))</f>
        <v>-1</v>
      </c>
      <c r="G187" s="11">
        <v>-1</v>
      </c>
      <c r="H187" s="11"/>
      <c r="I187" s="255">
        <f>IF(G187=-1,-1,VLOOKUP(G187,Data_Descriptions!$A:$B,2,0))</f>
        <v>-1</v>
      </c>
      <c r="J187" s="11"/>
      <c r="K187" s="11"/>
      <c r="L187" s="255"/>
      <c r="M187" s="11"/>
      <c r="N187" s="11"/>
    </row>
    <row r="188" spans="1:14" x14ac:dyDescent="0.2">
      <c r="A188" s="11"/>
      <c r="B188" s="11"/>
      <c r="C188" s="11"/>
      <c r="D188" s="11">
        <v>-1</v>
      </c>
      <c r="E188" s="201"/>
      <c r="F188" s="255">
        <f>IF(D188=-1,-1,VLOOKUP(D188,Data_Descriptions!$A:$B,2,0))</f>
        <v>-1</v>
      </c>
      <c r="G188" s="11">
        <v>-1</v>
      </c>
      <c r="H188" s="11"/>
      <c r="I188" s="255">
        <f>IF(G188=-1,-1,VLOOKUP(G188,Data_Descriptions!$A:$B,2,0))</f>
        <v>-1</v>
      </c>
      <c r="J188" s="11"/>
      <c r="K188" s="11"/>
      <c r="L188" s="255"/>
      <c r="M188" s="11"/>
      <c r="N188" s="11"/>
    </row>
    <row r="189" spans="1:14" x14ac:dyDescent="0.2">
      <c r="A189" s="11"/>
      <c r="B189" s="11"/>
      <c r="C189" s="11"/>
      <c r="D189" s="11">
        <v>-1</v>
      </c>
      <c r="E189" s="201"/>
      <c r="F189" s="255">
        <f>IF(D189=-1,-1,VLOOKUP(D189,Data_Descriptions!$A:$B,2,0))</f>
        <v>-1</v>
      </c>
      <c r="G189" s="11">
        <v>-1</v>
      </c>
      <c r="H189" s="11"/>
      <c r="I189" s="255">
        <f>IF(G189=-1,-1,VLOOKUP(G189,Data_Descriptions!$A:$B,2,0))</f>
        <v>-1</v>
      </c>
      <c r="J189" s="11"/>
      <c r="K189" s="11"/>
      <c r="L189" s="255"/>
      <c r="M189" s="11"/>
      <c r="N189" s="11"/>
    </row>
    <row r="190" spans="1:14" x14ac:dyDescent="0.2">
      <c r="A190" s="11"/>
      <c r="B190" s="11"/>
      <c r="C190" s="11"/>
      <c r="D190" s="11">
        <v>-1</v>
      </c>
      <c r="E190" s="201"/>
      <c r="F190" s="255">
        <f>IF(D190=-1,-1,VLOOKUP(D190,Data_Descriptions!$A:$B,2,0))</f>
        <v>-1</v>
      </c>
      <c r="G190" s="11">
        <v>-1</v>
      </c>
      <c r="H190" s="11"/>
      <c r="I190" s="255">
        <f>IF(G190=-1,-1,VLOOKUP(G190,Data_Descriptions!$A:$B,2,0))</f>
        <v>-1</v>
      </c>
      <c r="J190" s="11"/>
      <c r="K190" s="11"/>
      <c r="L190" s="255"/>
      <c r="M190" s="11"/>
      <c r="N190" s="11"/>
    </row>
    <row r="191" spans="1:14" x14ac:dyDescent="0.2">
      <c r="A191" s="11"/>
      <c r="B191" s="11"/>
      <c r="C191" s="11"/>
      <c r="D191" s="11">
        <v>-1</v>
      </c>
      <c r="E191" s="201"/>
      <c r="F191" s="255">
        <f>IF(D191=-1,-1,VLOOKUP(D191,Data_Descriptions!$A:$B,2,0))</f>
        <v>-1</v>
      </c>
      <c r="G191" s="11">
        <v>-1</v>
      </c>
      <c r="H191" s="11"/>
      <c r="I191" s="255">
        <f>IF(G191=-1,-1,VLOOKUP(G191,Data_Descriptions!$A:$B,2,0))</f>
        <v>-1</v>
      </c>
      <c r="J191" s="11"/>
      <c r="K191" s="11"/>
      <c r="L191" s="255"/>
      <c r="M191" s="11"/>
      <c r="N191" s="11"/>
    </row>
    <row r="192" spans="1:14" x14ac:dyDescent="0.2">
      <c r="A192" s="11"/>
      <c r="B192" s="11"/>
      <c r="C192" s="11"/>
      <c r="D192" s="11">
        <v>-1</v>
      </c>
      <c r="E192" s="201"/>
      <c r="F192" s="255">
        <f>IF(D192=-1,-1,VLOOKUP(D192,Data_Descriptions!$A:$B,2,0))</f>
        <v>-1</v>
      </c>
      <c r="G192" s="11">
        <v>-1</v>
      </c>
      <c r="H192" s="11"/>
      <c r="I192" s="255">
        <f>IF(G192=-1,-1,VLOOKUP(G192,Data_Descriptions!$A:$B,2,0))</f>
        <v>-1</v>
      </c>
      <c r="J192" s="11"/>
      <c r="K192" s="11"/>
      <c r="L192" s="255"/>
      <c r="M192" s="11"/>
      <c r="N192" s="11"/>
    </row>
    <row r="193" spans="1:14" x14ac:dyDescent="0.2">
      <c r="A193" s="11"/>
      <c r="B193" s="11"/>
      <c r="C193" s="11"/>
      <c r="D193" s="11">
        <v>-1</v>
      </c>
      <c r="E193" s="201"/>
      <c r="F193" s="255">
        <f>IF(D193=-1,-1,VLOOKUP(D193,Data_Descriptions!$A:$B,2,0))</f>
        <v>-1</v>
      </c>
      <c r="G193" s="11">
        <v>-1</v>
      </c>
      <c r="H193" s="11"/>
      <c r="I193" s="255">
        <f>IF(G193=-1,-1,VLOOKUP(G193,Data_Descriptions!$A:$B,2,0))</f>
        <v>-1</v>
      </c>
      <c r="J193" s="11"/>
      <c r="K193" s="11"/>
      <c r="L193" s="255"/>
      <c r="M193" s="11"/>
      <c r="N193" s="11"/>
    </row>
    <row r="194" spans="1:14" x14ac:dyDescent="0.2">
      <c r="A194" s="11"/>
      <c r="B194" s="11"/>
      <c r="C194" s="11"/>
      <c r="D194" s="11">
        <v>-1</v>
      </c>
      <c r="E194" s="201"/>
      <c r="F194" s="255">
        <f>IF(D194=-1,-1,VLOOKUP(D194,Data_Descriptions!$A:$B,2,0))</f>
        <v>-1</v>
      </c>
      <c r="G194" s="11">
        <v>-1</v>
      </c>
      <c r="H194" s="11"/>
      <c r="I194" s="255">
        <f>IF(G194=-1,-1,VLOOKUP(G194,Data_Descriptions!$A:$B,2,0))</f>
        <v>-1</v>
      </c>
      <c r="J194" s="11"/>
      <c r="K194" s="11"/>
      <c r="L194" s="255"/>
      <c r="M194" s="11"/>
      <c r="N194" s="11"/>
    </row>
    <row r="195" spans="1:14" x14ac:dyDescent="0.2">
      <c r="A195" s="11"/>
      <c r="B195" s="11"/>
      <c r="C195" s="11"/>
      <c r="D195" s="11">
        <v>-1</v>
      </c>
      <c r="E195" s="201"/>
      <c r="F195" s="255">
        <f>IF(D195=-1,-1,VLOOKUP(D195,Data_Descriptions!$A:$B,2,0))</f>
        <v>-1</v>
      </c>
      <c r="G195" s="11">
        <v>-1</v>
      </c>
      <c r="H195" s="11"/>
      <c r="I195" s="255">
        <f>IF(G195=-1,-1,VLOOKUP(G195,Data_Descriptions!$A:$B,2,0))</f>
        <v>-1</v>
      </c>
      <c r="J195" s="11"/>
      <c r="K195" s="11"/>
      <c r="L195" s="255"/>
      <c r="M195" s="11"/>
      <c r="N195" s="11"/>
    </row>
    <row r="196" spans="1:14" x14ac:dyDescent="0.2">
      <c r="A196" s="11"/>
      <c r="B196" s="11"/>
      <c r="C196" s="11"/>
      <c r="D196" s="11">
        <v>-1</v>
      </c>
      <c r="E196" s="201"/>
      <c r="F196" s="255">
        <f>IF(D196=-1,-1,VLOOKUP(D196,Data_Descriptions!$A:$B,2,0))</f>
        <v>-1</v>
      </c>
      <c r="G196" s="11">
        <v>-1</v>
      </c>
      <c r="H196" s="11"/>
      <c r="I196" s="255">
        <f>IF(G196=-1,-1,VLOOKUP(G196,Data_Descriptions!$A:$B,2,0))</f>
        <v>-1</v>
      </c>
      <c r="J196" s="11"/>
      <c r="K196" s="11"/>
      <c r="L196" s="255"/>
      <c r="M196" s="11"/>
      <c r="N196" s="11"/>
    </row>
    <row r="197" spans="1:14" x14ac:dyDescent="0.2">
      <c r="A197" s="11"/>
      <c r="B197" s="11"/>
      <c r="C197" s="11"/>
      <c r="D197" s="11">
        <v>-1</v>
      </c>
      <c r="E197" s="201"/>
      <c r="F197" s="255">
        <f>IF(D197=-1,-1,VLOOKUP(D197,Data_Descriptions!$A:$B,2,0))</f>
        <v>-1</v>
      </c>
      <c r="G197" s="11">
        <v>-1</v>
      </c>
      <c r="H197" s="11"/>
      <c r="I197" s="255">
        <f>IF(G197=-1,-1,VLOOKUP(G197,Data_Descriptions!$A:$B,2,0))</f>
        <v>-1</v>
      </c>
      <c r="J197" s="11"/>
      <c r="K197" s="11"/>
      <c r="L197" s="255"/>
      <c r="M197" s="11"/>
      <c r="N197" s="11"/>
    </row>
    <row r="198" spans="1:14" x14ac:dyDescent="0.2">
      <c r="A198" s="11"/>
      <c r="B198" s="11"/>
      <c r="C198" s="11"/>
      <c r="D198" s="11">
        <v>-1</v>
      </c>
      <c r="E198" s="201"/>
      <c r="F198" s="255">
        <f>IF(D198=-1,-1,VLOOKUP(D198,Data_Descriptions!$A:$B,2,0))</f>
        <v>-1</v>
      </c>
      <c r="G198" s="11">
        <v>-1</v>
      </c>
      <c r="H198" s="11"/>
      <c r="I198" s="255">
        <f>IF(G198=-1,-1,VLOOKUP(G198,Data_Descriptions!$A:$B,2,0))</f>
        <v>-1</v>
      </c>
      <c r="J198" s="11"/>
      <c r="K198" s="11"/>
      <c r="L198" s="255"/>
      <c r="M198" s="11"/>
      <c r="N198" s="11"/>
    </row>
    <row r="199" spans="1:14" x14ac:dyDescent="0.2">
      <c r="A199" s="11"/>
      <c r="B199" s="11"/>
      <c r="C199" s="11"/>
      <c r="D199" s="11">
        <v>-1</v>
      </c>
      <c r="E199" s="201"/>
      <c r="F199" s="255">
        <f>IF(D199=-1,-1,VLOOKUP(D199,Data_Descriptions!$A:$B,2,0))</f>
        <v>-1</v>
      </c>
      <c r="G199" s="11">
        <v>-1</v>
      </c>
      <c r="H199" s="11"/>
      <c r="I199" s="255">
        <f>IF(G199=-1,-1,VLOOKUP(G199,Data_Descriptions!$A:$B,2,0))</f>
        <v>-1</v>
      </c>
      <c r="J199" s="11"/>
      <c r="K199" s="11"/>
      <c r="L199" s="255"/>
      <c r="M199" s="11"/>
      <c r="N199" s="11"/>
    </row>
    <row r="200" spans="1:14" x14ac:dyDescent="0.2">
      <c r="A200" s="11"/>
      <c r="B200" s="11"/>
      <c r="C200" s="11"/>
      <c r="D200" s="11">
        <v>-1</v>
      </c>
      <c r="E200" s="201"/>
      <c r="F200" s="255">
        <f>IF(D200=-1,-1,VLOOKUP(D200,Data_Descriptions!$A:$B,2,0))</f>
        <v>-1</v>
      </c>
      <c r="G200" s="11">
        <v>-1</v>
      </c>
      <c r="H200" s="11"/>
      <c r="I200" s="255">
        <f>IF(G200=-1,-1,VLOOKUP(G200,Data_Descriptions!$A:$B,2,0))</f>
        <v>-1</v>
      </c>
      <c r="J200" s="11"/>
      <c r="K200" s="11"/>
      <c r="L200" s="255"/>
      <c r="M200" s="11"/>
      <c r="N200" s="11"/>
    </row>
    <row r="201" spans="1:14" x14ac:dyDescent="0.2">
      <c r="A201" s="11"/>
      <c r="B201" s="11"/>
      <c r="C201" s="11"/>
      <c r="D201" s="11">
        <v>-1</v>
      </c>
      <c r="E201" s="201"/>
      <c r="F201" s="255">
        <f>IF(D201=-1,-1,VLOOKUP(D201,Data_Descriptions!$A:$B,2,0))</f>
        <v>-1</v>
      </c>
      <c r="G201" s="11">
        <v>-1</v>
      </c>
      <c r="H201" s="11"/>
      <c r="I201" s="255">
        <f>IF(G201=-1,-1,VLOOKUP(G201,Data_Descriptions!$A:$B,2,0))</f>
        <v>-1</v>
      </c>
      <c r="J201" s="11"/>
      <c r="K201" s="11"/>
      <c r="L201" s="255"/>
      <c r="M201" s="11"/>
      <c r="N201" s="11"/>
    </row>
    <row r="202" spans="1:14" x14ac:dyDescent="0.2">
      <c r="A202" s="11"/>
      <c r="B202" s="11"/>
      <c r="C202" s="11"/>
      <c r="D202" s="11">
        <v>-1</v>
      </c>
      <c r="E202" s="201"/>
      <c r="F202" s="255">
        <f>IF(D202=-1,-1,VLOOKUP(D202,Data_Descriptions!$A:$B,2,0))</f>
        <v>-1</v>
      </c>
      <c r="G202" s="11">
        <v>-1</v>
      </c>
      <c r="H202" s="11"/>
      <c r="I202" s="255">
        <f>IF(G202=-1,-1,VLOOKUP(G202,Data_Descriptions!$A:$B,2,0))</f>
        <v>-1</v>
      </c>
      <c r="J202" s="11"/>
      <c r="K202" s="11"/>
      <c r="L202" s="255"/>
      <c r="M202" s="11"/>
      <c r="N202" s="11"/>
    </row>
    <row r="203" spans="1:14" x14ac:dyDescent="0.2">
      <c r="A203" s="11"/>
      <c r="B203" s="11"/>
      <c r="C203" s="11"/>
      <c r="D203" s="11">
        <v>-1</v>
      </c>
      <c r="E203" s="201"/>
      <c r="F203" s="255">
        <f>IF(D203=-1,-1,VLOOKUP(D203,Data_Descriptions!$A:$B,2,0))</f>
        <v>-1</v>
      </c>
      <c r="G203" s="11">
        <v>-1</v>
      </c>
      <c r="H203" s="11"/>
      <c r="I203" s="255">
        <f>IF(G203=-1,-1,VLOOKUP(G203,Data_Descriptions!$A:$B,2,0))</f>
        <v>-1</v>
      </c>
      <c r="J203" s="11"/>
      <c r="K203" s="11"/>
      <c r="L203" s="255"/>
      <c r="M203" s="11"/>
      <c r="N203" s="11"/>
    </row>
    <row r="204" spans="1:14" x14ac:dyDescent="0.2">
      <c r="A204" s="11"/>
      <c r="B204" s="11"/>
      <c r="C204" s="11"/>
      <c r="D204" s="11">
        <v>-1</v>
      </c>
      <c r="E204" s="201"/>
      <c r="F204" s="255">
        <f>IF(D204=-1,-1,VLOOKUP(D204,Data_Descriptions!$A:$B,2,0))</f>
        <v>-1</v>
      </c>
      <c r="G204" s="11">
        <v>-1</v>
      </c>
      <c r="H204" s="11"/>
      <c r="I204" s="255">
        <f>IF(G204=-1,-1,VLOOKUP(G204,Data_Descriptions!$A:$B,2,0))</f>
        <v>-1</v>
      </c>
      <c r="J204" s="11"/>
      <c r="K204" s="11"/>
      <c r="L204" s="255"/>
      <c r="M204" s="11"/>
      <c r="N204" s="11"/>
    </row>
    <row r="205" spans="1:14" x14ac:dyDescent="0.2">
      <c r="A205" s="11"/>
      <c r="B205" s="11"/>
      <c r="C205" s="11"/>
      <c r="D205" s="11">
        <v>-1</v>
      </c>
      <c r="E205" s="201"/>
      <c r="F205" s="255">
        <f>IF(D205=-1,-1,VLOOKUP(D205,Data_Descriptions!$A:$B,2,0))</f>
        <v>-1</v>
      </c>
      <c r="G205" s="11">
        <v>-1</v>
      </c>
      <c r="H205" s="11"/>
      <c r="I205" s="255">
        <f>IF(G205=-1,-1,VLOOKUP(G205,Data_Descriptions!$A:$B,2,0))</f>
        <v>-1</v>
      </c>
      <c r="J205" s="11"/>
      <c r="K205" s="11"/>
      <c r="L205" s="255"/>
      <c r="M205" s="11"/>
      <c r="N205" s="11"/>
    </row>
    <row r="206" spans="1:14" x14ac:dyDescent="0.2">
      <c r="A206" s="11"/>
      <c r="B206" s="11"/>
      <c r="C206" s="11"/>
      <c r="D206" s="11">
        <v>-1</v>
      </c>
      <c r="E206" s="201"/>
      <c r="F206" s="255">
        <f>IF(D206=-1,-1,VLOOKUP(D206,Data_Descriptions!$A:$B,2,0))</f>
        <v>-1</v>
      </c>
      <c r="G206" s="11">
        <v>-1</v>
      </c>
      <c r="H206" s="11"/>
      <c r="I206" s="255">
        <f>IF(G206=-1,-1,VLOOKUP(G206,Data_Descriptions!$A:$B,2,0))</f>
        <v>-1</v>
      </c>
      <c r="J206" s="11"/>
      <c r="K206" s="11"/>
      <c r="L206" s="255"/>
      <c r="M206" s="11"/>
      <c r="N206" s="11"/>
    </row>
    <row r="207" spans="1:14" x14ac:dyDescent="0.2">
      <c r="A207" s="11"/>
      <c r="B207" s="11"/>
      <c r="C207" s="11"/>
      <c r="D207" s="11">
        <v>-1</v>
      </c>
      <c r="E207" s="201"/>
      <c r="F207" s="255">
        <f>IF(D207=-1,-1,VLOOKUP(D207,Data_Descriptions!$A:$B,2,0))</f>
        <v>-1</v>
      </c>
      <c r="G207" s="11">
        <v>-1</v>
      </c>
      <c r="H207" s="11"/>
      <c r="I207" s="255">
        <f>IF(G207=-1,-1,VLOOKUP(G207,Data_Descriptions!$A:$B,2,0))</f>
        <v>-1</v>
      </c>
      <c r="J207" s="11"/>
      <c r="K207" s="11"/>
      <c r="L207" s="255"/>
      <c r="M207" s="11"/>
      <c r="N207" s="11"/>
    </row>
    <row r="208" spans="1:14" x14ac:dyDescent="0.2">
      <c r="A208" s="11"/>
      <c r="B208" s="11"/>
      <c r="C208" s="11"/>
      <c r="D208" s="11">
        <v>-1</v>
      </c>
      <c r="E208" s="201"/>
      <c r="F208" s="255">
        <f>IF(D208=-1,-1,VLOOKUP(D208,Data_Descriptions!$A:$B,2,0))</f>
        <v>-1</v>
      </c>
      <c r="G208" s="11">
        <v>-1</v>
      </c>
      <c r="H208" s="11"/>
      <c r="I208" s="255">
        <f>IF(G208=-1,-1,VLOOKUP(G208,Data_Descriptions!$A:$B,2,0))</f>
        <v>-1</v>
      </c>
      <c r="J208" s="11"/>
      <c r="K208" s="11"/>
      <c r="L208" s="255"/>
      <c r="M208" s="11"/>
      <c r="N208" s="11"/>
    </row>
    <row r="209" spans="1:14" x14ac:dyDescent="0.2">
      <c r="A209" s="11"/>
      <c r="B209" s="11"/>
      <c r="C209" s="11"/>
      <c r="D209" s="11">
        <v>-1</v>
      </c>
      <c r="E209" s="201"/>
      <c r="F209" s="255">
        <f>IF(D209=-1,-1,VLOOKUP(D209,Data_Descriptions!$A:$B,2,0))</f>
        <v>-1</v>
      </c>
      <c r="G209" s="11">
        <v>-1</v>
      </c>
      <c r="H209" s="11"/>
      <c r="I209" s="255">
        <f>IF(G209=-1,-1,VLOOKUP(G209,Data_Descriptions!$A:$B,2,0))</f>
        <v>-1</v>
      </c>
      <c r="J209" s="11"/>
      <c r="K209" s="11"/>
      <c r="L209" s="255"/>
      <c r="M209" s="11"/>
      <c r="N209" s="11"/>
    </row>
    <row r="210" spans="1:14" x14ac:dyDescent="0.2">
      <c r="A210" s="11"/>
      <c r="B210" s="11"/>
      <c r="C210" s="11"/>
      <c r="D210" s="11">
        <v>-1</v>
      </c>
      <c r="E210" s="201"/>
      <c r="F210" s="255">
        <f>IF(D210=-1,-1,VLOOKUP(D210,Data_Descriptions!$A:$B,2,0))</f>
        <v>-1</v>
      </c>
      <c r="G210" s="11">
        <v>-1</v>
      </c>
      <c r="H210" s="11"/>
      <c r="I210" s="255">
        <f>IF(G210=-1,-1,VLOOKUP(G210,Data_Descriptions!$A:$B,2,0))</f>
        <v>-1</v>
      </c>
      <c r="J210" s="11"/>
      <c r="K210" s="11"/>
      <c r="L210" s="255"/>
      <c r="M210" s="11"/>
      <c r="N210" s="11"/>
    </row>
    <row r="211" spans="1:14" x14ac:dyDescent="0.2">
      <c r="D211" s="11">
        <v>-1</v>
      </c>
      <c r="E211" s="201"/>
      <c r="F211" s="255">
        <f>IF(D211=-1,-1,VLOOKUP(D211,Data_Descriptions!$A:$B,2,0))</f>
        <v>-1</v>
      </c>
      <c r="G211" s="11">
        <v>-1</v>
      </c>
      <c r="H211" s="11"/>
      <c r="I211" s="255">
        <f>IF(G211=-1,-1,VLOOKUP(G211,Data_Descriptions!$A:$B,2,0))</f>
        <v>-1</v>
      </c>
      <c r="J211" s="11"/>
      <c r="K211" s="11"/>
      <c r="L211" s="255"/>
      <c r="M211" s="11"/>
    </row>
    <row r="212" spans="1:14" x14ac:dyDescent="0.2">
      <c r="D212" s="11">
        <v>-1</v>
      </c>
      <c r="E212" s="201"/>
      <c r="F212" s="255">
        <f>IF(D212=-1,-1,VLOOKUP(D212,Data_Descriptions!$A:$B,2,0))</f>
        <v>-1</v>
      </c>
      <c r="G212" s="11">
        <v>-1</v>
      </c>
      <c r="H212" s="11"/>
      <c r="I212" s="255">
        <f>IF(G212=-1,-1,VLOOKUP(G212,Data_Descriptions!$A:$B,2,0))</f>
        <v>-1</v>
      </c>
      <c r="J212" s="11"/>
      <c r="K212" s="11"/>
      <c r="L212" s="255"/>
      <c r="M212" s="11"/>
    </row>
    <row r="213" spans="1:14" x14ac:dyDescent="0.2">
      <c r="D213" s="11">
        <v>-1</v>
      </c>
      <c r="E213" s="201"/>
      <c r="F213" s="255">
        <f>IF(D213=-1,-1,VLOOKUP(D213,Data_Descriptions!$A:$B,2,0))</f>
        <v>-1</v>
      </c>
      <c r="G213" s="11">
        <v>-1</v>
      </c>
      <c r="H213" s="11"/>
      <c r="I213" s="255">
        <f>IF(G213=-1,-1,VLOOKUP(G213,Data_Descriptions!$A:$B,2,0))</f>
        <v>-1</v>
      </c>
      <c r="J213" s="11"/>
      <c r="K213" s="11"/>
      <c r="L213" s="255"/>
      <c r="M213" s="11"/>
    </row>
    <row r="214" spans="1:14" x14ac:dyDescent="0.2">
      <c r="D214" s="11">
        <v>-1</v>
      </c>
      <c r="E214" s="201"/>
      <c r="F214" s="255">
        <f>IF(D214=-1,-1,VLOOKUP(D214,Data_Descriptions!$A:$B,2,0))</f>
        <v>-1</v>
      </c>
      <c r="G214" s="11">
        <v>-1</v>
      </c>
      <c r="H214" s="11"/>
      <c r="I214" s="255">
        <f>IF(G214=-1,-1,VLOOKUP(G214,Data_Descriptions!$A:$B,2,0))</f>
        <v>-1</v>
      </c>
      <c r="J214" s="11"/>
      <c r="K214" s="11"/>
      <c r="L214" s="255"/>
      <c r="M214" s="11"/>
    </row>
    <row r="215" spans="1:14" x14ac:dyDescent="0.2">
      <c r="D215" s="11">
        <v>-1</v>
      </c>
      <c r="E215" s="201"/>
      <c r="F215" s="255">
        <f>IF(D215=-1,-1,VLOOKUP(D215,Data_Descriptions!$A:$B,2,0))</f>
        <v>-1</v>
      </c>
      <c r="G215" s="11">
        <v>-1</v>
      </c>
      <c r="H215" s="11"/>
      <c r="I215" s="255">
        <f>IF(G215=-1,-1,VLOOKUP(G215,Data_Descriptions!$A:$B,2,0))</f>
        <v>-1</v>
      </c>
      <c r="J215" s="11"/>
      <c r="K215" s="11"/>
      <c r="L215" s="255"/>
      <c r="M215" s="11"/>
    </row>
    <row r="216" spans="1:14" x14ac:dyDescent="0.2">
      <c r="D216" s="11">
        <v>-1</v>
      </c>
      <c r="E216" s="201"/>
      <c r="F216" s="255">
        <f>IF(D216=-1,-1,VLOOKUP(D216,Data_Descriptions!$A:$B,2,0))</f>
        <v>-1</v>
      </c>
      <c r="G216" s="11">
        <v>-1</v>
      </c>
      <c r="H216" s="11"/>
      <c r="I216" s="255">
        <f>IF(G216=-1,-1,VLOOKUP(G216,Data_Descriptions!$A:$B,2,0))</f>
        <v>-1</v>
      </c>
      <c r="J216" s="11"/>
      <c r="K216" s="11"/>
      <c r="L216" s="255"/>
      <c r="M216" s="11"/>
    </row>
    <row r="217" spans="1:14" x14ac:dyDescent="0.2">
      <c r="D217" s="11">
        <v>-1</v>
      </c>
      <c r="E217" s="201"/>
      <c r="F217" s="255">
        <f>IF(D217=-1,-1,VLOOKUP(D217,Data_Descriptions!$A:$B,2,0))</f>
        <v>-1</v>
      </c>
      <c r="G217" s="11">
        <v>-1</v>
      </c>
      <c r="H217" s="11"/>
      <c r="I217" s="255">
        <f>IF(G217=-1,-1,VLOOKUP(G217,Data_Descriptions!$A:$B,2,0))</f>
        <v>-1</v>
      </c>
      <c r="J217" s="11"/>
      <c r="K217" s="11"/>
      <c r="L217" s="255"/>
      <c r="M217" s="11"/>
    </row>
    <row r="218" spans="1:14" x14ac:dyDescent="0.2">
      <c r="D218" s="11">
        <v>-1</v>
      </c>
      <c r="E218" s="201"/>
      <c r="F218" s="255">
        <f>IF(D218=-1,-1,VLOOKUP(D218,Data_Descriptions!$A:$B,2,0))</f>
        <v>-1</v>
      </c>
      <c r="G218" s="11">
        <v>-1</v>
      </c>
      <c r="H218" s="11"/>
      <c r="I218" s="255">
        <f>IF(G218=-1,-1,VLOOKUP(G218,Data_Descriptions!$A:$B,2,0))</f>
        <v>-1</v>
      </c>
      <c r="J218" s="11"/>
      <c r="K218" s="11"/>
      <c r="L218" s="255"/>
      <c r="M218" s="11"/>
    </row>
    <row r="219" spans="1:14" x14ac:dyDescent="0.2">
      <c r="D219" s="11">
        <v>-1</v>
      </c>
      <c r="E219" s="201"/>
      <c r="F219" s="255">
        <f>IF(D219=-1,-1,VLOOKUP(D219,Data_Descriptions!$A:$B,2,0))</f>
        <v>-1</v>
      </c>
      <c r="G219" s="11">
        <v>-1</v>
      </c>
      <c r="H219" s="11"/>
      <c r="I219" s="255">
        <f>IF(G219=-1,-1,VLOOKUP(G219,Data_Descriptions!$A:$B,2,0))</f>
        <v>-1</v>
      </c>
      <c r="J219" s="11"/>
      <c r="K219" s="11"/>
      <c r="L219" s="255"/>
      <c r="M219" s="11"/>
    </row>
    <row r="220" spans="1:14" x14ac:dyDescent="0.2">
      <c r="D220" s="11">
        <v>-1</v>
      </c>
      <c r="E220" s="201"/>
      <c r="F220" s="255">
        <f>IF(D220=-1,-1,VLOOKUP(D220,Data_Descriptions!$A:$B,2,0))</f>
        <v>-1</v>
      </c>
      <c r="G220" s="11">
        <v>-1</v>
      </c>
      <c r="H220" s="11"/>
      <c r="I220" s="255">
        <f>IF(G220=-1,-1,VLOOKUP(G220,Data_Descriptions!$A:$B,2,0))</f>
        <v>-1</v>
      </c>
      <c r="J220" s="11"/>
      <c r="K220" s="11"/>
      <c r="L220" s="255"/>
      <c r="M220" s="11"/>
    </row>
    <row r="221" spans="1:14" x14ac:dyDescent="0.2">
      <c r="D221" s="11">
        <v>-1</v>
      </c>
      <c r="E221" s="201"/>
      <c r="F221" s="255">
        <f>IF(D221=-1,-1,VLOOKUP(D221,Data_Descriptions!$A:$B,2,0))</f>
        <v>-1</v>
      </c>
      <c r="G221" s="11">
        <v>-1</v>
      </c>
      <c r="H221" s="11"/>
      <c r="I221" s="255">
        <f>IF(G221=-1,-1,VLOOKUP(G221,Data_Descriptions!$A:$B,2,0))</f>
        <v>-1</v>
      </c>
      <c r="J221" s="11"/>
      <c r="K221" s="11"/>
      <c r="L221" s="255"/>
      <c r="M221" s="11"/>
    </row>
    <row r="222" spans="1:14" x14ac:dyDescent="0.2">
      <c r="D222" s="11">
        <v>-1</v>
      </c>
      <c r="E222" s="201"/>
      <c r="F222" s="255">
        <f>IF(D222=-1,-1,VLOOKUP(D222,Data_Descriptions!$A:$B,2,0))</f>
        <v>-1</v>
      </c>
      <c r="G222" s="11">
        <v>-1</v>
      </c>
      <c r="H222" s="11"/>
      <c r="I222" s="255">
        <f>IF(G222=-1,-1,VLOOKUP(G222,Data_Descriptions!$A:$B,2,0))</f>
        <v>-1</v>
      </c>
      <c r="J222" s="11"/>
      <c r="K222" s="11"/>
      <c r="L222" s="255"/>
      <c r="M222" s="11"/>
    </row>
    <row r="223" spans="1:14" x14ac:dyDescent="0.2">
      <c r="D223" s="11">
        <v>-1</v>
      </c>
      <c r="E223" s="201"/>
      <c r="F223" s="255">
        <f>IF(D223=-1,-1,VLOOKUP(D223,Data_Descriptions!$A:$B,2,0))</f>
        <v>-1</v>
      </c>
      <c r="G223" s="11">
        <v>-1</v>
      </c>
      <c r="H223" s="11"/>
      <c r="I223" s="255">
        <f>IF(G223=-1,-1,VLOOKUP(G223,Data_Descriptions!$A:$B,2,0))</f>
        <v>-1</v>
      </c>
      <c r="J223" s="11"/>
      <c r="K223" s="11"/>
      <c r="L223" s="255"/>
      <c r="M223" s="11"/>
    </row>
    <row r="224" spans="1:14" x14ac:dyDescent="0.2">
      <c r="D224" s="11">
        <v>-1</v>
      </c>
      <c r="E224" s="201"/>
      <c r="F224" s="255">
        <f>IF(D224=-1,-1,VLOOKUP(D224,Data_Descriptions!$A:$B,2,0))</f>
        <v>-1</v>
      </c>
      <c r="G224" s="11">
        <v>-1</v>
      </c>
      <c r="H224" s="11"/>
      <c r="I224" s="255">
        <f>IF(G224=-1,-1,VLOOKUP(G224,Data_Descriptions!$A:$B,2,0))</f>
        <v>-1</v>
      </c>
      <c r="J224" s="11"/>
      <c r="K224" s="11"/>
      <c r="L224" s="255"/>
      <c r="M224" s="11"/>
    </row>
    <row r="225" spans="4:13" x14ac:dyDescent="0.2">
      <c r="D225" s="11">
        <v>-1</v>
      </c>
      <c r="E225" s="201"/>
      <c r="F225" s="255">
        <f>IF(D225=-1,-1,VLOOKUP(D225,Data_Descriptions!$A:$B,2,0))</f>
        <v>-1</v>
      </c>
      <c r="G225" s="11">
        <v>-1</v>
      </c>
      <c r="H225" s="11"/>
      <c r="I225" s="255">
        <f>IF(G225=-1,-1,VLOOKUP(G225,Data_Descriptions!$A:$B,2,0))</f>
        <v>-1</v>
      </c>
      <c r="J225" s="11"/>
      <c r="K225" s="11"/>
      <c r="L225" s="255"/>
      <c r="M225" s="11"/>
    </row>
    <row r="226" spans="4:13" x14ac:dyDescent="0.2">
      <c r="D226" s="11">
        <v>-1</v>
      </c>
      <c r="E226" s="201"/>
      <c r="F226" s="255">
        <f>IF(D226=-1,-1,VLOOKUP(D226,Data_Descriptions!$A:$B,2,0))</f>
        <v>-1</v>
      </c>
      <c r="G226" s="11">
        <v>-1</v>
      </c>
      <c r="H226" s="11"/>
      <c r="I226" s="255">
        <f>IF(G226=-1,-1,VLOOKUP(G226,Data_Descriptions!$A:$B,2,0))</f>
        <v>-1</v>
      </c>
      <c r="J226" s="11"/>
      <c r="K226" s="11"/>
      <c r="L226" s="255"/>
      <c r="M226" s="11"/>
    </row>
    <row r="227" spans="4:13" x14ac:dyDescent="0.2">
      <c r="D227" s="11">
        <v>-1</v>
      </c>
      <c r="E227" s="201"/>
      <c r="F227" s="255">
        <f>IF(D227=-1,-1,VLOOKUP(D227,Data_Descriptions!$A:$B,2,0))</f>
        <v>-1</v>
      </c>
      <c r="G227" s="11">
        <v>-1</v>
      </c>
      <c r="H227" s="11"/>
      <c r="I227" s="255">
        <f>IF(G227=-1,-1,VLOOKUP(G227,Data_Descriptions!$A:$B,2,0))</f>
        <v>-1</v>
      </c>
      <c r="J227" s="11"/>
      <c r="K227" s="11"/>
      <c r="L227" s="255"/>
      <c r="M227" s="11"/>
    </row>
    <row r="228" spans="4:13" x14ac:dyDescent="0.2">
      <c r="D228" s="11">
        <v>-1</v>
      </c>
      <c r="E228" s="201"/>
      <c r="F228" s="255">
        <f>IF(D228=-1,-1,VLOOKUP(D228,Data_Descriptions!$A:$B,2,0))</f>
        <v>-1</v>
      </c>
      <c r="G228" s="11">
        <v>-1</v>
      </c>
      <c r="H228" s="11"/>
      <c r="I228" s="255">
        <f>IF(G228=-1,-1,VLOOKUP(G228,Data_Descriptions!$A:$B,2,0))</f>
        <v>-1</v>
      </c>
      <c r="J228" s="11"/>
      <c r="K228" s="11"/>
      <c r="L228" s="255"/>
      <c r="M228" s="11"/>
    </row>
    <row r="229" spans="4:13" x14ac:dyDescent="0.2">
      <c r="D229" s="11">
        <v>-1</v>
      </c>
      <c r="E229" s="201"/>
      <c r="F229" s="255">
        <f>IF(D229=-1,-1,VLOOKUP(D229,Data_Descriptions!$A:$B,2,0))</f>
        <v>-1</v>
      </c>
      <c r="G229" s="11">
        <v>-1</v>
      </c>
      <c r="H229" s="11"/>
      <c r="I229" s="255">
        <f>IF(G229=-1,-1,VLOOKUP(G229,Data_Descriptions!$A:$B,2,0))</f>
        <v>-1</v>
      </c>
      <c r="J229" s="11"/>
      <c r="K229" s="11"/>
      <c r="L229" s="255"/>
      <c r="M229" s="11"/>
    </row>
    <row r="230" spans="4:13" x14ac:dyDescent="0.2">
      <c r="D230" s="11">
        <v>-1</v>
      </c>
      <c r="E230" s="201"/>
      <c r="F230" s="255">
        <f>IF(D230=-1,-1,VLOOKUP(D230,Data_Descriptions!$A:$B,2,0))</f>
        <v>-1</v>
      </c>
      <c r="G230" s="11">
        <v>-1</v>
      </c>
      <c r="H230" s="11"/>
      <c r="I230" s="255">
        <f>IF(G230=-1,-1,VLOOKUP(G230,Data_Descriptions!$A:$B,2,0))</f>
        <v>-1</v>
      </c>
      <c r="J230" s="11"/>
      <c r="K230" s="11"/>
      <c r="L230" s="255"/>
      <c r="M230" s="11"/>
    </row>
    <row r="231" spans="4:13" x14ac:dyDescent="0.2">
      <c r="D231" s="11">
        <v>-1</v>
      </c>
      <c r="E231" s="201"/>
      <c r="F231" s="255">
        <f>IF(D231=-1,-1,VLOOKUP(D231,Data_Descriptions!$A:$B,2,0))</f>
        <v>-1</v>
      </c>
      <c r="G231" s="11">
        <v>-1</v>
      </c>
      <c r="H231" s="11"/>
      <c r="I231" s="255">
        <f>IF(G231=-1,-1,VLOOKUP(G231,Data_Descriptions!$A:$B,2,0))</f>
        <v>-1</v>
      </c>
      <c r="J231" s="11"/>
      <c r="K231" s="11"/>
      <c r="L231" s="255"/>
      <c r="M231" s="11"/>
    </row>
    <row r="232" spans="4:13" x14ac:dyDescent="0.2">
      <c r="D232" s="11">
        <v>-1</v>
      </c>
      <c r="E232" s="201"/>
      <c r="F232" s="255">
        <f>IF(D232=-1,-1,VLOOKUP(D232,Data_Descriptions!$A:$B,2,0))</f>
        <v>-1</v>
      </c>
      <c r="G232" s="11">
        <v>-1</v>
      </c>
      <c r="H232" s="11"/>
      <c r="I232" s="255">
        <f>IF(G232=-1,-1,VLOOKUP(G232,Data_Descriptions!$A:$B,2,0))</f>
        <v>-1</v>
      </c>
      <c r="J232" s="11"/>
      <c r="K232" s="11"/>
      <c r="L232" s="255"/>
      <c r="M232" s="11"/>
    </row>
    <row r="233" spans="4:13" x14ac:dyDescent="0.2">
      <c r="D233" s="11">
        <v>-1</v>
      </c>
      <c r="E233" s="201"/>
      <c r="F233" s="255">
        <f>IF(D233=-1,-1,VLOOKUP(D233,Data_Descriptions!$A:$B,2,0))</f>
        <v>-1</v>
      </c>
      <c r="G233" s="11">
        <v>-1</v>
      </c>
      <c r="H233" s="11"/>
      <c r="I233" s="255">
        <f>IF(G233=-1,-1,VLOOKUP(G233,Data_Descriptions!$A:$B,2,0))</f>
        <v>-1</v>
      </c>
      <c r="J233" s="11"/>
      <c r="K233" s="11"/>
      <c r="L233" s="255"/>
      <c r="M233" s="11"/>
    </row>
    <row r="234" spans="4:13" x14ac:dyDescent="0.2">
      <c r="D234" s="11">
        <v>-1</v>
      </c>
      <c r="E234" s="201"/>
      <c r="F234" s="255">
        <f>IF(D234=-1,-1,VLOOKUP(D234,Data_Descriptions!$A:$B,2,0))</f>
        <v>-1</v>
      </c>
      <c r="G234" s="11">
        <v>-1</v>
      </c>
      <c r="H234" s="11"/>
      <c r="I234" s="255">
        <f>IF(G234=-1,-1,VLOOKUP(G234,Data_Descriptions!$A:$B,2,0))</f>
        <v>-1</v>
      </c>
      <c r="J234" s="11"/>
      <c r="K234" s="11"/>
      <c r="L234" s="255"/>
      <c r="M234" s="11"/>
    </row>
    <row r="235" spans="4:13" x14ac:dyDescent="0.2">
      <c r="D235" s="11">
        <v>-1</v>
      </c>
      <c r="E235" s="201"/>
      <c r="F235" s="255">
        <f>IF(D235=-1,-1,VLOOKUP(D235,Data_Descriptions!$A:$B,2,0))</f>
        <v>-1</v>
      </c>
      <c r="G235" s="11">
        <v>-1</v>
      </c>
      <c r="H235" s="11"/>
      <c r="I235" s="255">
        <f>IF(G235=-1,-1,VLOOKUP(G235,Data_Descriptions!$A:$B,2,0))</f>
        <v>-1</v>
      </c>
      <c r="J235" s="11"/>
      <c r="K235" s="11"/>
      <c r="L235" s="255"/>
      <c r="M235" s="11"/>
    </row>
    <row r="236" spans="4:13" x14ac:dyDescent="0.2">
      <c r="D236" s="11">
        <v>-1</v>
      </c>
      <c r="E236" s="201"/>
      <c r="F236" s="255">
        <f>IF(D236=-1,-1,VLOOKUP(D236,Data_Descriptions!$A:$B,2,0))</f>
        <v>-1</v>
      </c>
      <c r="G236" s="11">
        <v>-1</v>
      </c>
      <c r="H236" s="11"/>
      <c r="I236" s="255">
        <f>IF(G236=-1,-1,VLOOKUP(G236,Data_Descriptions!$A:$B,2,0))</f>
        <v>-1</v>
      </c>
      <c r="J236" s="11"/>
      <c r="K236" s="11"/>
      <c r="L236" s="255"/>
      <c r="M236" s="11"/>
    </row>
    <row r="237" spans="4:13" x14ac:dyDescent="0.2">
      <c r="D237" s="11">
        <v>-1</v>
      </c>
      <c r="E237" s="201"/>
      <c r="F237" s="255">
        <f>IF(D237=-1,-1,VLOOKUP(D237,Data_Descriptions!$A:$B,2,0))</f>
        <v>-1</v>
      </c>
      <c r="G237" s="11">
        <v>-1</v>
      </c>
      <c r="H237" s="11"/>
      <c r="I237" s="255">
        <f>IF(G237=-1,-1,VLOOKUP(G237,Data_Descriptions!$A:$B,2,0))</f>
        <v>-1</v>
      </c>
      <c r="J237" s="11"/>
      <c r="K237" s="11"/>
      <c r="L237" s="255"/>
      <c r="M237" s="11"/>
    </row>
    <row r="238" spans="4:13" x14ac:dyDescent="0.2">
      <c r="D238" s="11">
        <v>-1</v>
      </c>
      <c r="E238" s="201"/>
      <c r="F238" s="255">
        <f>IF(D238=-1,-1,VLOOKUP(D238,Data_Descriptions!$A:$B,2,0))</f>
        <v>-1</v>
      </c>
      <c r="G238" s="11">
        <v>-1</v>
      </c>
      <c r="H238" s="11"/>
      <c r="I238" s="255">
        <f>IF(G238=-1,-1,VLOOKUP(G238,Data_Descriptions!$A:$B,2,0))</f>
        <v>-1</v>
      </c>
      <c r="J238" s="11"/>
      <c r="K238" s="11"/>
      <c r="L238" s="255"/>
      <c r="M238" s="11"/>
    </row>
    <row r="239" spans="4:13" x14ac:dyDescent="0.2">
      <c r="D239" s="11">
        <v>-1</v>
      </c>
      <c r="E239" s="201"/>
      <c r="F239" s="255">
        <f>IF(D239=-1,-1,VLOOKUP(D239,Data_Descriptions!$A:$B,2,0))</f>
        <v>-1</v>
      </c>
      <c r="G239" s="11">
        <v>-1</v>
      </c>
      <c r="H239" s="11"/>
      <c r="I239" s="255">
        <f>IF(G239=-1,-1,VLOOKUP(G239,Data_Descriptions!$A:$B,2,0))</f>
        <v>-1</v>
      </c>
      <c r="J239" s="11"/>
      <c r="K239" s="11"/>
      <c r="L239" s="255"/>
      <c r="M239" s="11"/>
    </row>
    <row r="240" spans="4:13" x14ac:dyDescent="0.2">
      <c r="D240" s="11">
        <v>-1</v>
      </c>
      <c r="E240" s="201"/>
      <c r="F240" s="255">
        <f>IF(D240=-1,-1,VLOOKUP(D240,Data_Descriptions!$A:$B,2,0))</f>
        <v>-1</v>
      </c>
      <c r="G240" s="11">
        <v>-1</v>
      </c>
      <c r="H240" s="11"/>
      <c r="I240" s="255">
        <f>IF(G240=-1,-1,VLOOKUP(G240,Data_Descriptions!$A:$B,2,0))</f>
        <v>-1</v>
      </c>
      <c r="J240" s="11"/>
      <c r="K240" s="11"/>
      <c r="L240" s="255"/>
      <c r="M240" s="11"/>
    </row>
    <row r="241" spans="4:13" x14ac:dyDescent="0.2">
      <c r="D241" s="11">
        <v>-1</v>
      </c>
      <c r="E241" s="201"/>
      <c r="F241" s="255">
        <f>IF(D241=-1,-1,VLOOKUP(D241,Data_Descriptions!$A:$B,2,0))</f>
        <v>-1</v>
      </c>
      <c r="G241" s="11">
        <v>-1</v>
      </c>
      <c r="H241" s="11"/>
      <c r="I241" s="255">
        <f>IF(G241=-1,-1,VLOOKUP(G241,Data_Descriptions!$A:$B,2,0))</f>
        <v>-1</v>
      </c>
      <c r="J241" s="11"/>
      <c r="K241" s="11"/>
      <c r="L241" s="255"/>
      <c r="M241" s="11"/>
    </row>
    <row r="242" spans="4:13" x14ac:dyDescent="0.2">
      <c r="D242" s="11">
        <v>-1</v>
      </c>
      <c r="E242" s="201"/>
      <c r="F242" s="255">
        <f>IF(D242=-1,-1,VLOOKUP(D242,Data_Descriptions!$A:$B,2,0))</f>
        <v>-1</v>
      </c>
      <c r="G242" s="11">
        <v>-1</v>
      </c>
      <c r="H242" s="11"/>
      <c r="I242" s="255">
        <f>IF(G242=-1,-1,VLOOKUP(G242,Data_Descriptions!$A:$B,2,0))</f>
        <v>-1</v>
      </c>
      <c r="J242" s="11"/>
      <c r="K242" s="11"/>
      <c r="L242" s="255"/>
      <c r="M242" s="11"/>
    </row>
    <row r="243" spans="4:13" x14ac:dyDescent="0.2">
      <c r="D243" s="11">
        <v>-1</v>
      </c>
      <c r="E243" s="201"/>
      <c r="F243" s="255">
        <f>IF(D243=-1,-1,VLOOKUP(D243,Data_Descriptions!$A:$B,2,0))</f>
        <v>-1</v>
      </c>
      <c r="G243" s="11">
        <v>-1</v>
      </c>
      <c r="H243" s="11"/>
      <c r="I243" s="255">
        <f>IF(G243=-1,-1,VLOOKUP(G243,Data_Descriptions!$A:$B,2,0))</f>
        <v>-1</v>
      </c>
      <c r="J243" s="11"/>
      <c r="K243" s="11"/>
      <c r="L243" s="255"/>
      <c r="M243" s="11"/>
    </row>
    <row r="244" spans="4:13" x14ac:dyDescent="0.2">
      <c r="D244" s="11">
        <v>-1</v>
      </c>
      <c r="E244" s="201"/>
      <c r="F244" s="255">
        <f>IF(D244=-1,-1,VLOOKUP(D244,Data_Descriptions!$A:$B,2,0))</f>
        <v>-1</v>
      </c>
      <c r="G244" s="11">
        <v>-1</v>
      </c>
      <c r="H244" s="11"/>
      <c r="I244" s="255">
        <f>IF(G244=-1,-1,VLOOKUP(G244,Data_Descriptions!$A:$B,2,0))</f>
        <v>-1</v>
      </c>
      <c r="J244" s="11"/>
      <c r="K244" s="11"/>
      <c r="L244" s="255"/>
      <c r="M244" s="11"/>
    </row>
    <row r="245" spans="4:13" x14ac:dyDescent="0.2">
      <c r="D245" s="11">
        <v>-1</v>
      </c>
      <c r="E245" s="201"/>
      <c r="F245" s="255">
        <f>IF(D245=-1,-1,VLOOKUP(D245,Data_Descriptions!$A:$B,2,0))</f>
        <v>-1</v>
      </c>
      <c r="G245" s="11">
        <v>-1</v>
      </c>
      <c r="H245" s="11"/>
      <c r="I245" s="255">
        <f>IF(G245=-1,-1,VLOOKUP(G245,Data_Descriptions!$A:$B,2,0))</f>
        <v>-1</v>
      </c>
      <c r="J245" s="11"/>
      <c r="K245" s="11"/>
      <c r="L245" s="255"/>
      <c r="M245" s="11"/>
    </row>
    <row r="246" spans="4:13" x14ac:dyDescent="0.2">
      <c r="D246" s="11">
        <v>-1</v>
      </c>
      <c r="E246" s="201"/>
      <c r="F246" s="255">
        <f>IF(D246=-1,-1,VLOOKUP(D246,Data_Descriptions!$A:$B,2,0))</f>
        <v>-1</v>
      </c>
      <c r="G246" s="11">
        <v>-1</v>
      </c>
      <c r="H246" s="11"/>
      <c r="I246" s="255">
        <f>IF(G246=-1,-1,VLOOKUP(G246,Data_Descriptions!$A:$B,2,0))</f>
        <v>-1</v>
      </c>
      <c r="J246" s="11"/>
      <c r="K246" s="11"/>
      <c r="L246" s="255"/>
      <c r="M246" s="11"/>
    </row>
    <row r="247" spans="4:13" x14ac:dyDescent="0.2">
      <c r="D247" s="11">
        <v>-1</v>
      </c>
      <c r="E247" s="201"/>
      <c r="F247" s="255">
        <f>IF(D247=-1,-1,VLOOKUP(D247,Data_Descriptions!$A:$B,2,0))</f>
        <v>-1</v>
      </c>
      <c r="G247" s="11">
        <v>-1</v>
      </c>
      <c r="H247" s="11"/>
      <c r="I247" s="255">
        <f>IF(G247=-1,-1,VLOOKUP(G247,Data_Descriptions!$A:$B,2,0))</f>
        <v>-1</v>
      </c>
      <c r="J247" s="11"/>
      <c r="K247" s="11"/>
      <c r="L247" s="255"/>
      <c r="M247" s="11"/>
    </row>
    <row r="248" spans="4:13" x14ac:dyDescent="0.2">
      <c r="D248" s="11">
        <v>-1</v>
      </c>
      <c r="E248" s="201"/>
      <c r="F248" s="255">
        <f>IF(D248=-1,-1,VLOOKUP(D248,Data_Descriptions!$A:$B,2,0))</f>
        <v>-1</v>
      </c>
      <c r="G248" s="11">
        <v>-1</v>
      </c>
      <c r="H248" s="11"/>
      <c r="I248" s="255">
        <f>IF(G248=-1,-1,VLOOKUP(G248,Data_Descriptions!$A:$B,2,0))</f>
        <v>-1</v>
      </c>
      <c r="J248" s="11"/>
      <c r="K248" s="11"/>
      <c r="L248" s="255"/>
      <c r="M248" s="11"/>
    </row>
    <row r="249" spans="4:13" x14ac:dyDescent="0.2">
      <c r="D249" s="11">
        <v>-1</v>
      </c>
      <c r="E249" s="201"/>
      <c r="F249" s="255">
        <f>IF(D249=-1,-1,VLOOKUP(D249,Data_Descriptions!$A:$B,2,0))</f>
        <v>-1</v>
      </c>
      <c r="G249" s="11">
        <v>-1</v>
      </c>
      <c r="H249" s="11"/>
      <c r="I249" s="255">
        <f>IF(G249=-1,-1,VLOOKUP(G249,Data_Descriptions!$A:$B,2,0))</f>
        <v>-1</v>
      </c>
      <c r="J249" s="11"/>
      <c r="K249" s="11"/>
      <c r="L249" s="255"/>
      <c r="M249" s="11"/>
    </row>
    <row r="250" spans="4:13" x14ac:dyDescent="0.2">
      <c r="D250" s="11">
        <v>-1</v>
      </c>
      <c r="E250" s="201"/>
      <c r="F250" s="255">
        <f>IF(D250=-1,-1,VLOOKUP(D250,Data_Descriptions!$A:$B,2,0))</f>
        <v>-1</v>
      </c>
      <c r="G250" s="11">
        <v>-1</v>
      </c>
      <c r="H250" s="11"/>
      <c r="I250" s="255">
        <f>IF(G250=-1,-1,VLOOKUP(G250,Data_Descriptions!$A:$B,2,0))</f>
        <v>-1</v>
      </c>
      <c r="J250" s="11"/>
      <c r="K250" s="11"/>
      <c r="L250" s="255"/>
      <c r="M250" s="11"/>
    </row>
    <row r="251" spans="4:13" x14ac:dyDescent="0.2">
      <c r="D251" s="11">
        <v>-1</v>
      </c>
      <c r="E251" s="201"/>
      <c r="F251" s="255">
        <f>IF(D251=-1,-1,VLOOKUP(D251,Data_Descriptions!$A:$B,2,0))</f>
        <v>-1</v>
      </c>
      <c r="G251" s="11">
        <v>-1</v>
      </c>
      <c r="H251" s="11"/>
      <c r="I251" s="255">
        <f>IF(G251=-1,-1,VLOOKUP(G251,Data_Descriptions!$A:$B,2,0))</f>
        <v>-1</v>
      </c>
      <c r="J251" s="11"/>
      <c r="K251" s="11"/>
      <c r="L251" s="255"/>
      <c r="M251" s="11"/>
    </row>
    <row r="252" spans="4:13" x14ac:dyDescent="0.2">
      <c r="D252" s="11">
        <v>-1</v>
      </c>
      <c r="E252" s="201"/>
      <c r="F252" s="255">
        <f>IF(D252=-1,-1,VLOOKUP(D252,Data_Descriptions!$A:$B,2,0))</f>
        <v>-1</v>
      </c>
      <c r="G252" s="11">
        <v>-1</v>
      </c>
      <c r="H252" s="11"/>
      <c r="I252" s="255">
        <f>IF(G252=-1,-1,VLOOKUP(G252,Data_Descriptions!$A:$B,2,0))</f>
        <v>-1</v>
      </c>
      <c r="J252" s="11"/>
      <c r="K252" s="11"/>
      <c r="L252" s="255"/>
      <c r="M252" s="11"/>
    </row>
    <row r="253" spans="4:13" x14ac:dyDescent="0.2">
      <c r="D253" s="11">
        <v>-1</v>
      </c>
      <c r="E253" s="201"/>
      <c r="F253" s="255">
        <f>IF(D253=-1,-1,VLOOKUP(D253,Data_Descriptions!$A:$B,2,0))</f>
        <v>-1</v>
      </c>
      <c r="G253" s="11">
        <v>-1</v>
      </c>
      <c r="H253" s="11"/>
      <c r="I253" s="255">
        <f>IF(G253=-1,-1,VLOOKUP(G253,Data_Descriptions!$A:$B,2,0))</f>
        <v>-1</v>
      </c>
      <c r="J253" s="11"/>
      <c r="K253" s="11"/>
      <c r="L253" s="255"/>
      <c r="M253" s="11"/>
    </row>
    <row r="254" spans="4:13" x14ac:dyDescent="0.2">
      <c r="D254" s="11">
        <v>-1</v>
      </c>
      <c r="E254" s="201"/>
      <c r="F254" s="255">
        <f>IF(D254=-1,-1,VLOOKUP(D254,Data_Descriptions!$A:$B,2,0))</f>
        <v>-1</v>
      </c>
      <c r="G254" s="11">
        <v>-1</v>
      </c>
      <c r="H254" s="11"/>
      <c r="I254" s="255">
        <f>IF(G254=-1,-1,VLOOKUP(G254,Data_Descriptions!$A:$B,2,0))</f>
        <v>-1</v>
      </c>
      <c r="J254" s="11"/>
      <c r="K254" s="11"/>
      <c r="L254" s="255"/>
      <c r="M254" s="11"/>
    </row>
    <row r="255" spans="4:13" x14ac:dyDescent="0.2">
      <c r="D255" s="11">
        <v>-1</v>
      </c>
      <c r="E255" s="201"/>
      <c r="F255" s="255">
        <f>IF(D255=-1,-1,VLOOKUP(D255,Data_Descriptions!$A:$B,2,0))</f>
        <v>-1</v>
      </c>
      <c r="G255" s="11">
        <v>-1</v>
      </c>
      <c r="H255" s="11"/>
      <c r="I255" s="255">
        <f>IF(G255=-1,-1,VLOOKUP(G255,Data_Descriptions!$A:$B,2,0))</f>
        <v>-1</v>
      </c>
      <c r="J255" s="11"/>
      <c r="K255" s="11"/>
      <c r="L255" s="255"/>
      <c r="M255" s="11"/>
    </row>
    <row r="256" spans="4:13" x14ac:dyDescent="0.2">
      <c r="D256" s="11">
        <v>-1</v>
      </c>
      <c r="E256" s="201"/>
      <c r="F256" s="255">
        <f>IF(D256=-1,-1,VLOOKUP(D256,Data_Descriptions!$A:$B,2,0))</f>
        <v>-1</v>
      </c>
      <c r="G256" s="11">
        <v>-1</v>
      </c>
      <c r="H256" s="11"/>
      <c r="I256" s="255">
        <f>IF(G256=-1,-1,VLOOKUP(G256,Data_Descriptions!$A:$B,2,0))</f>
        <v>-1</v>
      </c>
      <c r="J256" s="11"/>
      <c r="K256" s="11"/>
      <c r="L256" s="255"/>
      <c r="M256" s="11"/>
    </row>
    <row r="257" spans="4:13" x14ac:dyDescent="0.2">
      <c r="D257" s="11">
        <v>-1</v>
      </c>
      <c r="E257" s="201"/>
      <c r="F257" s="255">
        <f>IF(D257=-1,-1,VLOOKUP(D257,Data_Descriptions!$A:$B,2,0))</f>
        <v>-1</v>
      </c>
      <c r="G257" s="11">
        <v>-1</v>
      </c>
      <c r="H257" s="11"/>
      <c r="I257" s="255">
        <f>IF(G257=-1,-1,VLOOKUP(G257,Data_Descriptions!$A:$B,2,0))</f>
        <v>-1</v>
      </c>
      <c r="J257" s="11"/>
      <c r="K257" s="11"/>
      <c r="L257" s="255"/>
      <c r="M257" s="11"/>
    </row>
    <row r="258" spans="4:13" x14ac:dyDescent="0.2">
      <c r="D258" s="11">
        <v>-1</v>
      </c>
      <c r="E258" s="201"/>
      <c r="F258" s="255">
        <f>IF(D258=-1,-1,VLOOKUP(D258,Data_Descriptions!$A:$B,2,0))</f>
        <v>-1</v>
      </c>
      <c r="G258" s="11">
        <v>-1</v>
      </c>
      <c r="H258" s="11"/>
      <c r="I258" s="255">
        <f>IF(G258=-1,-1,VLOOKUP(G258,Data_Descriptions!$A:$B,2,0))</f>
        <v>-1</v>
      </c>
      <c r="J258" s="11"/>
      <c r="K258" s="11"/>
      <c r="L258" s="255"/>
      <c r="M258" s="11"/>
    </row>
    <row r="259" spans="4:13" x14ac:dyDescent="0.2">
      <c r="D259" s="11">
        <v>-1</v>
      </c>
      <c r="E259" s="201"/>
      <c r="F259" s="255">
        <f>IF(D259=-1,-1,VLOOKUP(D259,Data_Descriptions!$A:$B,2,0))</f>
        <v>-1</v>
      </c>
      <c r="G259" s="11">
        <v>-1</v>
      </c>
      <c r="H259" s="11"/>
      <c r="I259" s="255">
        <f>IF(G259=-1,-1,VLOOKUP(G259,Data_Descriptions!$A:$B,2,0))</f>
        <v>-1</v>
      </c>
      <c r="J259" s="11"/>
      <c r="K259" s="11"/>
      <c r="L259" s="255"/>
      <c r="M259" s="11"/>
    </row>
    <row r="260" spans="4:13" x14ac:dyDescent="0.2">
      <c r="D260" s="11">
        <v>-1</v>
      </c>
      <c r="E260" s="201"/>
      <c r="F260" s="255">
        <f>IF(D260=-1,-1,VLOOKUP(D260,Data_Descriptions!$A:$B,2,0))</f>
        <v>-1</v>
      </c>
      <c r="G260" s="11">
        <v>-1</v>
      </c>
      <c r="H260" s="11"/>
      <c r="I260" s="255">
        <f>IF(G260=-1,-1,VLOOKUP(G260,Data_Descriptions!$A:$B,2,0))</f>
        <v>-1</v>
      </c>
      <c r="J260" s="11"/>
      <c r="K260" s="11"/>
      <c r="L260" s="255"/>
      <c r="M260" s="11"/>
    </row>
    <row r="261" spans="4:13" x14ac:dyDescent="0.2">
      <c r="D261" s="11">
        <v>-1</v>
      </c>
      <c r="E261" s="201"/>
      <c r="F261" s="255">
        <f>IF(D261=-1,-1,VLOOKUP(D261,Data_Descriptions!$A:$B,2,0))</f>
        <v>-1</v>
      </c>
      <c r="G261" s="11">
        <v>-1</v>
      </c>
      <c r="H261" s="11"/>
      <c r="I261" s="255">
        <f>IF(G261=-1,-1,VLOOKUP(G261,Data_Descriptions!$A:$B,2,0))</f>
        <v>-1</v>
      </c>
      <c r="J261" s="11"/>
      <c r="K261" s="11"/>
      <c r="L261" s="255"/>
      <c r="M261" s="11"/>
    </row>
    <row r="262" spans="4:13" x14ac:dyDescent="0.2">
      <c r="D262" s="11">
        <v>-1</v>
      </c>
      <c r="E262" s="201"/>
      <c r="F262" s="255">
        <f>IF(D262=-1,-1,VLOOKUP(D262,Data_Descriptions!$A:$B,2,0))</f>
        <v>-1</v>
      </c>
      <c r="G262" s="11">
        <v>-1</v>
      </c>
      <c r="H262" s="11"/>
      <c r="I262" s="255">
        <f>IF(G262=-1,-1,VLOOKUP(G262,Data_Descriptions!$A:$B,2,0))</f>
        <v>-1</v>
      </c>
      <c r="J262" s="11"/>
      <c r="K262" s="11"/>
      <c r="L262" s="255"/>
      <c r="M262" s="11"/>
    </row>
    <row r="263" spans="4:13" x14ac:dyDescent="0.2">
      <c r="D263" s="11">
        <v>-1</v>
      </c>
      <c r="E263" s="201"/>
      <c r="F263" s="255">
        <f>IF(D263=-1,-1,VLOOKUP(D263,Data_Descriptions!$A:$B,2,0))</f>
        <v>-1</v>
      </c>
      <c r="G263" s="11">
        <v>-1</v>
      </c>
      <c r="H263" s="11"/>
      <c r="I263" s="255">
        <f>IF(G263=-1,-1,VLOOKUP(G263,Data_Descriptions!$A:$B,2,0))</f>
        <v>-1</v>
      </c>
      <c r="J263" s="11"/>
      <c r="K263" s="11"/>
      <c r="L263" s="255"/>
      <c r="M263" s="11"/>
    </row>
    <row r="264" spans="4:13" x14ac:dyDescent="0.2">
      <c r="D264" s="11">
        <v>-1</v>
      </c>
      <c r="E264" s="201"/>
      <c r="F264" s="255">
        <f>IF(D264=-1,-1,VLOOKUP(D264,Data_Descriptions!$A:$B,2,0))</f>
        <v>-1</v>
      </c>
      <c r="G264" s="11">
        <v>-1</v>
      </c>
      <c r="H264" s="11"/>
      <c r="I264" s="255">
        <f>IF(G264=-1,-1,VLOOKUP(G264,Data_Descriptions!$A:$B,2,0))</f>
        <v>-1</v>
      </c>
      <c r="J264" s="11"/>
      <c r="K264" s="11"/>
      <c r="L264" s="255"/>
      <c r="M264" s="11"/>
    </row>
    <row r="265" spans="4:13" x14ac:dyDescent="0.2">
      <c r="D265" s="11">
        <v>-1</v>
      </c>
      <c r="E265" s="201"/>
      <c r="F265" s="255">
        <f>IF(D265=-1,-1,VLOOKUP(D265,Data_Descriptions!$A:$B,2,0))</f>
        <v>-1</v>
      </c>
      <c r="G265" s="11">
        <v>-1</v>
      </c>
      <c r="H265" s="11"/>
      <c r="I265" s="255">
        <f>IF(G265=-1,-1,VLOOKUP(G265,Data_Descriptions!$A:$B,2,0))</f>
        <v>-1</v>
      </c>
      <c r="J265" s="11"/>
      <c r="K265" s="11"/>
      <c r="L265" s="255"/>
      <c r="M265" s="11"/>
    </row>
    <row r="266" spans="4:13" x14ac:dyDescent="0.2">
      <c r="D266" s="11">
        <v>-1</v>
      </c>
      <c r="E266" s="201"/>
      <c r="F266" s="255">
        <f>IF(D266=-1,-1,VLOOKUP(D266,Data_Descriptions!$A:$B,2,0))</f>
        <v>-1</v>
      </c>
      <c r="G266" s="11">
        <v>-1</v>
      </c>
      <c r="H266" s="11"/>
      <c r="I266" s="255">
        <f>IF(G266=-1,-1,VLOOKUP(G266,Data_Descriptions!$A:$B,2,0))</f>
        <v>-1</v>
      </c>
      <c r="J266" s="11"/>
      <c r="K266" s="11"/>
      <c r="L266" s="255"/>
      <c r="M266" s="11"/>
    </row>
    <row r="267" spans="4:13" x14ac:dyDescent="0.2">
      <c r="D267" s="11">
        <v>-1</v>
      </c>
      <c r="E267" s="201"/>
      <c r="F267" s="255">
        <f>IF(D267=-1,-1,VLOOKUP(D267,Data_Descriptions!$A:$B,2,0))</f>
        <v>-1</v>
      </c>
      <c r="G267" s="11">
        <v>-1</v>
      </c>
      <c r="H267" s="11"/>
      <c r="I267" s="255">
        <f>IF(G267=-1,-1,VLOOKUP(G267,Data_Descriptions!$A:$B,2,0))</f>
        <v>-1</v>
      </c>
      <c r="J267" s="11"/>
      <c r="K267" s="11"/>
      <c r="L267" s="255"/>
      <c r="M267" s="11"/>
    </row>
    <row r="268" spans="4:13" x14ac:dyDescent="0.2">
      <c r="D268" s="11">
        <v>-1</v>
      </c>
      <c r="E268" s="201"/>
      <c r="F268" s="255">
        <f>IF(D268=-1,-1,VLOOKUP(D268,Data_Descriptions!$A:$B,2,0))</f>
        <v>-1</v>
      </c>
      <c r="G268" s="11">
        <v>-1</v>
      </c>
      <c r="H268" s="11"/>
      <c r="I268" s="255">
        <f>IF(G268=-1,-1,VLOOKUP(G268,Data_Descriptions!$A:$B,2,0))</f>
        <v>-1</v>
      </c>
      <c r="J268" s="11"/>
      <c r="K268" s="11"/>
      <c r="L268" s="255"/>
      <c r="M268" s="11"/>
    </row>
    <row r="269" spans="4:13" x14ac:dyDescent="0.2">
      <c r="D269" s="11">
        <v>-1</v>
      </c>
      <c r="E269" s="201"/>
      <c r="F269" s="255">
        <f>IF(D269=-1,-1,VLOOKUP(D269,Data_Descriptions!$A:$B,2,0))</f>
        <v>-1</v>
      </c>
      <c r="G269" s="11">
        <v>-1</v>
      </c>
      <c r="H269" s="11"/>
      <c r="I269" s="255">
        <f>IF(G269=-1,-1,VLOOKUP(G269,Data_Descriptions!$A:$B,2,0))</f>
        <v>-1</v>
      </c>
      <c r="J269" s="11"/>
      <c r="K269" s="11"/>
      <c r="L269" s="255"/>
      <c r="M269" s="11"/>
    </row>
    <row r="270" spans="4:13" x14ac:dyDescent="0.2">
      <c r="D270" s="11">
        <v>-1</v>
      </c>
      <c r="E270" s="201"/>
      <c r="F270" s="255">
        <f>IF(D270=-1,-1,VLOOKUP(D270,Data_Descriptions!$A:$B,2,0))</f>
        <v>-1</v>
      </c>
      <c r="G270" s="11">
        <v>-1</v>
      </c>
      <c r="H270" s="11"/>
      <c r="I270" s="255">
        <f>IF(G270=-1,-1,VLOOKUP(G270,Data_Descriptions!$A:$B,2,0))</f>
        <v>-1</v>
      </c>
      <c r="J270" s="11"/>
      <c r="K270" s="11"/>
      <c r="L270" s="255"/>
      <c r="M270" s="11"/>
    </row>
    <row r="271" spans="4:13" x14ac:dyDescent="0.2">
      <c r="D271" s="11">
        <v>-1</v>
      </c>
      <c r="E271" s="201"/>
      <c r="F271" s="255">
        <f>IF(D271=-1,-1,VLOOKUP(D271,Data_Descriptions!$A:$B,2,0))</f>
        <v>-1</v>
      </c>
      <c r="G271" s="11">
        <v>-1</v>
      </c>
      <c r="H271" s="11"/>
      <c r="I271" s="255">
        <f>IF(G271=-1,-1,VLOOKUP(G271,Data_Descriptions!$A:$B,2,0))</f>
        <v>-1</v>
      </c>
      <c r="J271" s="11"/>
      <c r="K271" s="11"/>
      <c r="L271" s="255"/>
      <c r="M271" s="11"/>
    </row>
    <row r="272" spans="4:13" x14ac:dyDescent="0.2">
      <c r="D272" s="11">
        <v>-1</v>
      </c>
      <c r="E272" s="201"/>
      <c r="F272" s="255">
        <f>IF(D272=-1,-1,VLOOKUP(D272,Data_Descriptions!$A:$B,2,0))</f>
        <v>-1</v>
      </c>
      <c r="G272" s="11">
        <v>-1</v>
      </c>
      <c r="H272" s="11"/>
      <c r="I272" s="255">
        <f>IF(G272=-1,-1,VLOOKUP(G272,Data_Descriptions!$A:$B,2,0))</f>
        <v>-1</v>
      </c>
      <c r="J272" s="11"/>
      <c r="K272" s="11"/>
      <c r="L272" s="255"/>
      <c r="M272" s="11"/>
    </row>
    <row r="273" spans="4:13" x14ac:dyDescent="0.2">
      <c r="D273" s="11">
        <v>-1</v>
      </c>
      <c r="E273" s="201"/>
      <c r="F273" s="255">
        <f>IF(D273=-1,-1,VLOOKUP(D273,Data_Descriptions!$A:$B,2,0))</f>
        <v>-1</v>
      </c>
      <c r="G273" s="11">
        <v>-1</v>
      </c>
      <c r="H273" s="11"/>
      <c r="I273" s="255">
        <f>IF(G273=-1,-1,VLOOKUP(G273,Data_Descriptions!$A:$B,2,0))</f>
        <v>-1</v>
      </c>
      <c r="J273" s="11"/>
      <c r="K273" s="11"/>
      <c r="L273" s="255"/>
      <c r="M273" s="11"/>
    </row>
    <row r="274" spans="4:13" x14ac:dyDescent="0.2">
      <c r="D274" s="11">
        <v>-1</v>
      </c>
      <c r="E274" s="201"/>
      <c r="F274" s="255">
        <f>IF(D274=-1,-1,VLOOKUP(D274,Data_Descriptions!$A:$B,2,0))</f>
        <v>-1</v>
      </c>
      <c r="G274" s="11">
        <v>-1</v>
      </c>
      <c r="H274" s="11"/>
      <c r="I274" s="255">
        <f>IF(G274=-1,-1,VLOOKUP(G274,Data_Descriptions!$A:$B,2,0))</f>
        <v>-1</v>
      </c>
      <c r="J274" s="11"/>
      <c r="K274" s="11"/>
      <c r="L274" s="255"/>
      <c r="M274" s="11"/>
    </row>
    <row r="275" spans="4:13" x14ac:dyDescent="0.2">
      <c r="D275" s="11">
        <v>-1</v>
      </c>
      <c r="E275" s="201"/>
      <c r="F275" s="255">
        <f>IF(D275=-1,-1,VLOOKUP(D275,Data_Descriptions!$A:$B,2,0))</f>
        <v>-1</v>
      </c>
      <c r="G275" s="11">
        <v>-1</v>
      </c>
      <c r="H275" s="11"/>
      <c r="I275" s="255">
        <f>IF(G275=-1,-1,VLOOKUP(G275,Data_Descriptions!$A:$B,2,0))</f>
        <v>-1</v>
      </c>
      <c r="J275" s="11"/>
      <c r="K275" s="11"/>
      <c r="L275" s="255"/>
      <c r="M275" s="11"/>
    </row>
    <row r="276" spans="4:13" x14ac:dyDescent="0.2">
      <c r="D276" s="11">
        <v>-1</v>
      </c>
      <c r="E276" s="201"/>
      <c r="F276" s="255">
        <f>IF(D276=-1,-1,VLOOKUP(D276,Data_Descriptions!$A:$B,2,0))</f>
        <v>-1</v>
      </c>
      <c r="G276" s="11">
        <v>-1</v>
      </c>
      <c r="H276" s="11"/>
      <c r="I276" s="255">
        <f>IF(G276=-1,-1,VLOOKUP(G276,Data_Descriptions!$A:$B,2,0))</f>
        <v>-1</v>
      </c>
      <c r="J276" s="11"/>
      <c r="K276" s="11"/>
      <c r="L276" s="255"/>
      <c r="M276" s="11"/>
    </row>
    <row r="277" spans="4:13" x14ac:dyDescent="0.2">
      <c r="D277" s="11">
        <v>-1</v>
      </c>
      <c r="E277" s="201"/>
      <c r="F277" s="255">
        <f>IF(D277=-1,-1,VLOOKUP(D277,Data_Descriptions!$A:$B,2,0))</f>
        <v>-1</v>
      </c>
      <c r="G277" s="11">
        <v>-1</v>
      </c>
      <c r="H277" s="11"/>
      <c r="I277" s="255">
        <f>IF(G277=-1,-1,VLOOKUP(G277,Data_Descriptions!$A:$B,2,0))</f>
        <v>-1</v>
      </c>
      <c r="J277" s="11"/>
      <c r="K277" s="11"/>
      <c r="L277" s="255"/>
      <c r="M277" s="11"/>
    </row>
    <row r="278" spans="4:13" x14ac:dyDescent="0.2">
      <c r="D278" s="11">
        <v>-1</v>
      </c>
      <c r="E278" s="201"/>
      <c r="F278" s="255">
        <f>IF(D278=-1,-1,VLOOKUP(D278,Data_Descriptions!$A:$B,2,0))</f>
        <v>-1</v>
      </c>
      <c r="G278" s="11">
        <v>-1</v>
      </c>
      <c r="H278" s="11"/>
      <c r="I278" s="255">
        <f>IF(G278=-1,-1,VLOOKUP(G278,Data_Descriptions!$A:$B,2,0))</f>
        <v>-1</v>
      </c>
      <c r="J278" s="11"/>
      <c r="K278" s="11"/>
      <c r="L278" s="255"/>
      <c r="M278" s="11"/>
    </row>
    <row r="279" spans="4:13" x14ac:dyDescent="0.2">
      <c r="D279" s="11">
        <v>-1</v>
      </c>
      <c r="E279" s="201"/>
      <c r="F279" s="255">
        <f>IF(D279=-1,-1,VLOOKUP(D279,Data_Descriptions!$A:$B,2,0))</f>
        <v>-1</v>
      </c>
      <c r="G279" s="11">
        <v>-1</v>
      </c>
      <c r="H279" s="11"/>
      <c r="I279" s="255">
        <f>IF(G279=-1,-1,VLOOKUP(G279,Data_Descriptions!$A:$B,2,0))</f>
        <v>-1</v>
      </c>
      <c r="J279" s="11"/>
      <c r="K279" s="11"/>
      <c r="L279" s="255"/>
      <c r="M279" s="11"/>
    </row>
    <row r="280" spans="4:13" x14ac:dyDescent="0.2">
      <c r="D280" s="11">
        <v>-1</v>
      </c>
      <c r="E280" s="201"/>
      <c r="F280" s="255">
        <f>IF(D280=-1,-1,VLOOKUP(D280,Data_Descriptions!$A:$B,2,0))</f>
        <v>-1</v>
      </c>
      <c r="G280" s="11">
        <v>-1</v>
      </c>
      <c r="H280" s="11"/>
      <c r="I280" s="255">
        <f>IF(G280=-1,-1,VLOOKUP(G280,Data_Descriptions!$A:$B,2,0))</f>
        <v>-1</v>
      </c>
      <c r="J280" s="11"/>
      <c r="K280" s="11"/>
      <c r="L280" s="255"/>
      <c r="M280" s="11"/>
    </row>
    <row r="281" spans="4:13" x14ac:dyDescent="0.2">
      <c r="D281" s="11">
        <v>-1</v>
      </c>
      <c r="E281" s="201"/>
      <c r="F281" s="255">
        <f>IF(D281=-1,-1,VLOOKUP(D281,Data_Descriptions!$A:$B,2,0))</f>
        <v>-1</v>
      </c>
      <c r="G281" s="11">
        <v>-1</v>
      </c>
      <c r="H281" s="11"/>
      <c r="I281" s="255">
        <f>IF(G281=-1,-1,VLOOKUP(G281,Data_Descriptions!$A:$B,2,0))</f>
        <v>-1</v>
      </c>
      <c r="J281" s="11"/>
      <c r="K281" s="11"/>
      <c r="L281" s="255"/>
      <c r="M281" s="11"/>
    </row>
    <row r="282" spans="4:13" x14ac:dyDescent="0.2">
      <c r="D282" s="11">
        <v>-1</v>
      </c>
      <c r="E282" s="201"/>
      <c r="F282" s="255">
        <f>IF(D282=-1,-1,VLOOKUP(D282,Data_Descriptions!$A:$B,2,0))</f>
        <v>-1</v>
      </c>
      <c r="G282" s="11">
        <v>-1</v>
      </c>
      <c r="H282" s="11"/>
      <c r="I282" s="255">
        <f>IF(G282=-1,-1,VLOOKUP(G282,Data_Descriptions!$A:$B,2,0))</f>
        <v>-1</v>
      </c>
      <c r="J282" s="11"/>
      <c r="K282" s="11"/>
      <c r="L282" s="255"/>
      <c r="M282" s="11"/>
    </row>
    <row r="283" spans="4:13" x14ac:dyDescent="0.2">
      <c r="D283" s="11">
        <v>-1</v>
      </c>
      <c r="E283" s="201"/>
      <c r="F283" s="255">
        <f>IF(D283=-1,-1,VLOOKUP(D283,Data_Descriptions!$A:$B,2,0))</f>
        <v>-1</v>
      </c>
      <c r="G283" s="11">
        <v>-1</v>
      </c>
      <c r="H283" s="11"/>
      <c r="I283" s="255">
        <f>IF(G283=-1,-1,VLOOKUP(G283,Data_Descriptions!$A:$B,2,0))</f>
        <v>-1</v>
      </c>
      <c r="J283" s="11"/>
      <c r="K283" s="11"/>
      <c r="L283" s="255"/>
      <c r="M283" s="11"/>
    </row>
    <row r="284" spans="4:13" x14ac:dyDescent="0.2">
      <c r="D284" s="11">
        <v>-1</v>
      </c>
      <c r="E284" s="201"/>
      <c r="F284" s="255">
        <f>IF(D284=-1,-1,VLOOKUP(D284,Data_Descriptions!$A:$B,2,0))</f>
        <v>-1</v>
      </c>
      <c r="G284" s="11">
        <v>-1</v>
      </c>
      <c r="H284" s="11"/>
      <c r="I284" s="255">
        <f>IF(G284=-1,-1,VLOOKUP(G284,Data_Descriptions!$A:$B,2,0))</f>
        <v>-1</v>
      </c>
      <c r="J284" s="11"/>
      <c r="K284" s="11"/>
      <c r="L284" s="255"/>
      <c r="M284" s="11"/>
    </row>
    <row r="285" spans="4:13" x14ac:dyDescent="0.2">
      <c r="D285" s="11">
        <v>-1</v>
      </c>
      <c r="E285" s="201"/>
      <c r="F285" s="255">
        <f>IF(D285=-1,-1,VLOOKUP(D285,Data_Descriptions!$A:$B,2,0))</f>
        <v>-1</v>
      </c>
      <c r="G285" s="11">
        <v>-1</v>
      </c>
      <c r="H285" s="11"/>
      <c r="I285" s="255">
        <f>IF(G285=-1,-1,VLOOKUP(G285,Data_Descriptions!$A:$B,2,0))</f>
        <v>-1</v>
      </c>
      <c r="J285" s="11"/>
      <c r="K285" s="11"/>
      <c r="L285" s="255"/>
      <c r="M285" s="11"/>
    </row>
    <row r="286" spans="4:13" x14ac:dyDescent="0.2">
      <c r="D286" s="11">
        <v>-1</v>
      </c>
      <c r="E286" s="201"/>
      <c r="F286" s="255">
        <f>IF(D286=-1,-1,VLOOKUP(D286,Data_Descriptions!$A:$B,2,0))</f>
        <v>-1</v>
      </c>
      <c r="G286" s="11">
        <v>-1</v>
      </c>
      <c r="H286" s="11"/>
      <c r="I286" s="255">
        <f>IF(G286=-1,-1,VLOOKUP(G286,Data_Descriptions!$A:$B,2,0))</f>
        <v>-1</v>
      </c>
      <c r="J286" s="11"/>
      <c r="K286" s="11"/>
      <c r="L286" s="255"/>
      <c r="M286" s="11"/>
    </row>
    <row r="287" spans="4:13" x14ac:dyDescent="0.2">
      <c r="D287" s="11">
        <v>-1</v>
      </c>
      <c r="E287" s="201"/>
      <c r="F287" s="255">
        <f>IF(D287=-1,-1,VLOOKUP(D287,Data_Descriptions!$A:$B,2,0))</f>
        <v>-1</v>
      </c>
      <c r="G287" s="11">
        <v>-1</v>
      </c>
      <c r="H287" s="11"/>
      <c r="I287" s="255">
        <f>IF(G287=-1,-1,VLOOKUP(G287,Data_Descriptions!$A:$B,2,0))</f>
        <v>-1</v>
      </c>
      <c r="J287" s="11"/>
      <c r="K287" s="11"/>
      <c r="L287" s="255"/>
      <c r="M287" s="11"/>
    </row>
    <row r="288" spans="4:13" x14ac:dyDescent="0.2">
      <c r="D288" s="11">
        <v>-1</v>
      </c>
      <c r="E288" s="201"/>
      <c r="F288" s="255">
        <f>IF(D288=-1,-1,VLOOKUP(D288,Data_Descriptions!$A:$B,2,0))</f>
        <v>-1</v>
      </c>
      <c r="G288" s="11">
        <v>-1</v>
      </c>
      <c r="H288" s="11"/>
      <c r="I288" s="255">
        <f>IF(G288=-1,-1,VLOOKUP(G288,Data_Descriptions!$A:$B,2,0))</f>
        <v>-1</v>
      </c>
      <c r="J288" s="11"/>
      <c r="K288" s="11"/>
      <c r="L288" s="255"/>
      <c r="M288" s="11"/>
    </row>
    <row r="289" spans="4:13" x14ac:dyDescent="0.2">
      <c r="D289" s="11">
        <v>-1</v>
      </c>
      <c r="E289" s="201"/>
      <c r="F289" s="255">
        <f>IF(D289=-1,-1,VLOOKUP(D289,Data_Descriptions!$A:$B,2,0))</f>
        <v>-1</v>
      </c>
      <c r="G289" s="11">
        <v>-1</v>
      </c>
      <c r="H289" s="11"/>
      <c r="I289" s="255">
        <f>IF(G289=-1,-1,VLOOKUP(G289,Data_Descriptions!$A:$B,2,0))</f>
        <v>-1</v>
      </c>
      <c r="J289" s="11"/>
      <c r="K289" s="11"/>
      <c r="L289" s="255"/>
      <c r="M289" s="11"/>
    </row>
    <row r="290" spans="4:13" x14ac:dyDescent="0.2">
      <c r="D290" s="11">
        <v>-1</v>
      </c>
      <c r="E290" s="201"/>
      <c r="F290" s="255">
        <f>IF(D290=-1,-1,VLOOKUP(D290,Data_Descriptions!$A:$B,2,0))</f>
        <v>-1</v>
      </c>
      <c r="G290" s="11">
        <v>-1</v>
      </c>
      <c r="H290" s="11"/>
      <c r="I290" s="255">
        <f>IF(G290=-1,-1,VLOOKUP(G290,Data_Descriptions!$A:$B,2,0))</f>
        <v>-1</v>
      </c>
      <c r="J290" s="11"/>
      <c r="K290" s="11"/>
      <c r="L290" s="255"/>
      <c r="M290" s="11"/>
    </row>
    <row r="291" spans="4:13" x14ac:dyDescent="0.2">
      <c r="D291" s="11">
        <v>-1</v>
      </c>
      <c r="E291" s="201"/>
      <c r="F291" s="255">
        <f>IF(D291=-1,-1,VLOOKUP(D291,Data_Descriptions!$A:$B,2,0))</f>
        <v>-1</v>
      </c>
      <c r="G291" s="11">
        <v>-1</v>
      </c>
      <c r="H291" s="11"/>
      <c r="I291" s="255">
        <f>IF(G291=-1,-1,VLOOKUP(G291,Data_Descriptions!$A:$B,2,0))</f>
        <v>-1</v>
      </c>
      <c r="J291" s="11"/>
      <c r="K291" s="11"/>
      <c r="L291" s="255"/>
      <c r="M291" s="11"/>
    </row>
    <row r="292" spans="4:13" x14ac:dyDescent="0.2">
      <c r="D292" s="11">
        <v>-1</v>
      </c>
      <c r="E292" s="201"/>
      <c r="F292" s="255">
        <f>IF(D292=-1,-1,VLOOKUP(D292,Data_Descriptions!$A:$B,2,0))</f>
        <v>-1</v>
      </c>
      <c r="G292" s="11">
        <v>-1</v>
      </c>
      <c r="H292" s="11"/>
      <c r="I292" s="255">
        <f>IF(G292=-1,-1,VLOOKUP(G292,Data_Descriptions!$A:$B,2,0))</f>
        <v>-1</v>
      </c>
      <c r="J292" s="11"/>
      <c r="K292" s="11"/>
      <c r="L292" s="255"/>
      <c r="M292" s="11"/>
    </row>
    <row r="293" spans="4:13" x14ac:dyDescent="0.2">
      <c r="D293" s="11">
        <v>-1</v>
      </c>
      <c r="E293" s="201"/>
      <c r="F293" s="255">
        <f>IF(D293=-1,-1,VLOOKUP(D293,Data_Descriptions!$A:$B,2,0))</f>
        <v>-1</v>
      </c>
      <c r="G293" s="11">
        <v>-1</v>
      </c>
      <c r="H293" s="11"/>
      <c r="I293" s="255">
        <f>IF(G293=-1,-1,VLOOKUP(G293,Data_Descriptions!$A:$B,2,0))</f>
        <v>-1</v>
      </c>
      <c r="J293" s="11"/>
      <c r="K293" s="11"/>
      <c r="L293" s="255"/>
      <c r="M293" s="11"/>
    </row>
    <row r="294" spans="4:13" x14ac:dyDescent="0.2">
      <c r="D294" s="11">
        <v>-1</v>
      </c>
      <c r="E294" s="201"/>
      <c r="F294" s="255">
        <f>IF(D294=-1,-1,VLOOKUP(D294,Data_Descriptions!$A:$B,2,0))</f>
        <v>-1</v>
      </c>
      <c r="G294" s="11">
        <v>-1</v>
      </c>
      <c r="H294" s="11"/>
      <c r="I294" s="255">
        <f>IF(G294=-1,-1,VLOOKUP(G294,Data_Descriptions!$A:$B,2,0))</f>
        <v>-1</v>
      </c>
      <c r="J294" s="11"/>
      <c r="K294" s="11"/>
      <c r="L294" s="255"/>
      <c r="M294" s="11"/>
    </row>
    <row r="295" spans="4:13" x14ac:dyDescent="0.2">
      <c r="D295" s="11">
        <v>-1</v>
      </c>
      <c r="E295" s="201"/>
      <c r="F295" s="255">
        <f>IF(D295=-1,-1,VLOOKUP(D295,Data_Descriptions!$A:$B,2,0))</f>
        <v>-1</v>
      </c>
      <c r="G295" s="11">
        <v>-1</v>
      </c>
      <c r="H295" s="11"/>
      <c r="I295" s="255">
        <f>IF(G295=-1,-1,VLOOKUP(G295,Data_Descriptions!$A:$B,2,0))</f>
        <v>-1</v>
      </c>
      <c r="J295" s="11"/>
      <c r="K295" s="11"/>
      <c r="L295" s="255"/>
      <c r="M295" s="11"/>
    </row>
    <row r="296" spans="4:13" x14ac:dyDescent="0.2">
      <c r="D296" s="11">
        <v>-1</v>
      </c>
      <c r="E296" s="201"/>
      <c r="F296" s="255">
        <f>IF(D296=-1,-1,VLOOKUP(D296,Data_Descriptions!$A:$B,2,0))</f>
        <v>-1</v>
      </c>
      <c r="G296" s="11">
        <v>-1</v>
      </c>
      <c r="H296" s="11"/>
      <c r="I296" s="255">
        <f>IF(G296=-1,-1,VLOOKUP(G296,Data_Descriptions!$A:$B,2,0))</f>
        <v>-1</v>
      </c>
      <c r="J296" s="11"/>
      <c r="K296" s="11"/>
      <c r="L296" s="255"/>
      <c r="M296" s="11"/>
    </row>
    <row r="297" spans="4:13" x14ac:dyDescent="0.2">
      <c r="D297" s="11">
        <v>-1</v>
      </c>
      <c r="E297" s="201"/>
      <c r="F297" s="255">
        <f>IF(D297=-1,-1,VLOOKUP(D297,Data_Descriptions!$A:$B,2,0))</f>
        <v>-1</v>
      </c>
      <c r="G297" s="11">
        <v>-1</v>
      </c>
      <c r="H297" s="11"/>
      <c r="I297" s="255">
        <f>IF(G297=-1,-1,VLOOKUP(G297,Data_Descriptions!$A:$B,2,0))</f>
        <v>-1</v>
      </c>
      <c r="J297" s="11"/>
      <c r="K297" s="11"/>
      <c r="L297" s="255"/>
      <c r="M297" s="11"/>
    </row>
    <row r="298" spans="4:13" x14ac:dyDescent="0.2">
      <c r="D298" s="11">
        <v>-1</v>
      </c>
      <c r="E298" s="201"/>
      <c r="F298" s="255">
        <f>IF(D298=-1,-1,VLOOKUP(D298,Data_Descriptions!$A:$B,2,0))</f>
        <v>-1</v>
      </c>
      <c r="G298" s="11">
        <v>-1</v>
      </c>
      <c r="H298" s="11"/>
      <c r="I298" s="255">
        <f>IF(G298=-1,-1,VLOOKUP(G298,Data_Descriptions!$A:$B,2,0))</f>
        <v>-1</v>
      </c>
      <c r="J298" s="11"/>
      <c r="K298" s="11"/>
      <c r="L298" s="255"/>
      <c r="M298" s="11"/>
    </row>
    <row r="299" spans="4:13" x14ac:dyDescent="0.2">
      <c r="D299" s="11">
        <v>-1</v>
      </c>
      <c r="E299" s="201"/>
      <c r="F299" s="255">
        <f>IF(D299=-1,-1,VLOOKUP(D299,Data_Descriptions!$A:$B,2,0))</f>
        <v>-1</v>
      </c>
      <c r="G299" s="11">
        <v>-1</v>
      </c>
      <c r="H299" s="11"/>
      <c r="I299" s="255">
        <f>IF(G299=-1,-1,VLOOKUP(G299,Data_Descriptions!$A:$B,2,0))</f>
        <v>-1</v>
      </c>
      <c r="J299" s="11"/>
      <c r="K299" s="11"/>
      <c r="L299" s="255"/>
      <c r="M299" s="11"/>
    </row>
    <row r="300" spans="4:13" x14ac:dyDescent="0.2">
      <c r="D300" s="11">
        <v>-1</v>
      </c>
      <c r="E300" s="201"/>
      <c r="F300" s="255">
        <f>IF(D300=-1,-1,VLOOKUP(D300,Data_Descriptions!$A:$B,2,0))</f>
        <v>-1</v>
      </c>
      <c r="G300" s="11">
        <v>-1</v>
      </c>
      <c r="H300" s="11"/>
      <c r="I300" s="255">
        <f>IF(G300=-1,-1,VLOOKUP(G300,Data_Descriptions!$A:$B,2,0))</f>
        <v>-1</v>
      </c>
      <c r="J300" s="11"/>
      <c r="K300" s="11"/>
      <c r="L300" s="255"/>
      <c r="M300" s="11"/>
    </row>
    <row r="301" spans="4:13" x14ac:dyDescent="0.2">
      <c r="D301" s="11">
        <v>-1</v>
      </c>
      <c r="E301" s="201"/>
      <c r="F301" s="255">
        <f>IF(D301=-1,-1,VLOOKUP(D301,Data_Descriptions!$A:$B,2,0))</f>
        <v>-1</v>
      </c>
      <c r="G301" s="11">
        <v>-1</v>
      </c>
      <c r="H301" s="11"/>
      <c r="I301" s="255">
        <f>IF(G301=-1,-1,VLOOKUP(G301,Data_Descriptions!$A:$B,2,0))</f>
        <v>-1</v>
      </c>
      <c r="J301" s="11"/>
      <c r="K301" s="11"/>
      <c r="L301" s="255"/>
      <c r="M301" s="11"/>
    </row>
    <row r="302" spans="4:13" x14ac:dyDescent="0.2">
      <c r="D302" s="11">
        <v>-1</v>
      </c>
      <c r="E302" s="201"/>
      <c r="F302" s="255">
        <f>IF(D302=-1,-1,VLOOKUP(D302,Data_Descriptions!$A:$B,2,0))</f>
        <v>-1</v>
      </c>
      <c r="G302" s="11">
        <v>-1</v>
      </c>
      <c r="H302" s="11"/>
      <c r="I302" s="255">
        <f>IF(G302=-1,-1,VLOOKUP(G302,Data_Descriptions!$A:$B,2,0))</f>
        <v>-1</v>
      </c>
      <c r="J302" s="11"/>
      <c r="K302" s="11"/>
      <c r="L302" s="255"/>
      <c r="M302" s="11"/>
    </row>
    <row r="303" spans="4:13" x14ac:dyDescent="0.2">
      <c r="D303" s="11">
        <v>-1</v>
      </c>
      <c r="E303" s="201"/>
      <c r="F303" s="255">
        <f>IF(D303=-1,-1,VLOOKUP(D303,Data_Descriptions!$A:$B,2,0))</f>
        <v>-1</v>
      </c>
      <c r="G303" s="11">
        <v>-1</v>
      </c>
      <c r="H303" s="11"/>
      <c r="I303" s="255">
        <f>IF(G303=-1,-1,VLOOKUP(G303,Data_Descriptions!$A:$B,2,0))</f>
        <v>-1</v>
      </c>
      <c r="J303" s="11"/>
      <c r="K303" s="11"/>
      <c r="L303" s="255"/>
      <c r="M303" s="11"/>
    </row>
    <row r="304" spans="4:13" x14ac:dyDescent="0.2">
      <c r="D304" s="11">
        <v>-1</v>
      </c>
      <c r="E304" s="201"/>
      <c r="F304" s="255">
        <f>IF(D304=-1,-1,VLOOKUP(D304,Data_Descriptions!$A:$B,2,0))</f>
        <v>-1</v>
      </c>
      <c r="G304" s="11">
        <v>-1</v>
      </c>
      <c r="H304" s="11"/>
      <c r="I304" s="255">
        <f>IF(G304=-1,-1,VLOOKUP(G304,Data_Descriptions!$A:$B,2,0))</f>
        <v>-1</v>
      </c>
      <c r="J304" s="11"/>
      <c r="K304" s="11"/>
      <c r="L304" s="255"/>
      <c r="M304" s="11"/>
    </row>
    <row r="305" spans="4:13" x14ac:dyDescent="0.2">
      <c r="D305" s="11">
        <v>-1</v>
      </c>
      <c r="E305" s="201"/>
      <c r="F305" s="255">
        <f>IF(D305=-1,-1,VLOOKUP(D305,Data_Descriptions!$A:$B,2,0))</f>
        <v>-1</v>
      </c>
      <c r="G305" s="11">
        <v>-1</v>
      </c>
      <c r="H305" s="11"/>
      <c r="I305" s="255">
        <f>IF(G305=-1,-1,VLOOKUP(G305,Data_Descriptions!$A:$B,2,0))</f>
        <v>-1</v>
      </c>
      <c r="J305" s="11"/>
      <c r="K305" s="11"/>
      <c r="L305" s="255"/>
      <c r="M305" s="11"/>
    </row>
    <row r="306" spans="4:13" x14ac:dyDescent="0.2">
      <c r="D306" s="11">
        <v>-1</v>
      </c>
      <c r="E306" s="201"/>
      <c r="F306" s="255">
        <f>IF(D306=-1,-1,VLOOKUP(D306,Data_Descriptions!$A:$B,2,0))</f>
        <v>-1</v>
      </c>
      <c r="G306" s="11">
        <v>-1</v>
      </c>
      <c r="H306" s="11"/>
      <c r="I306" s="255">
        <f>IF(G306=-1,-1,VLOOKUP(G306,Data_Descriptions!$A:$B,2,0))</f>
        <v>-1</v>
      </c>
      <c r="J306" s="11"/>
      <c r="K306" s="11"/>
      <c r="L306" s="255"/>
      <c r="M306" s="11"/>
    </row>
    <row r="307" spans="4:13" x14ac:dyDescent="0.2">
      <c r="D307" s="11">
        <v>-1</v>
      </c>
      <c r="E307" s="201"/>
      <c r="F307" s="255">
        <f>IF(D307=-1,-1,VLOOKUP(D307,Data_Descriptions!$A:$B,2,0))</f>
        <v>-1</v>
      </c>
      <c r="G307" s="11">
        <v>-1</v>
      </c>
      <c r="H307" s="11"/>
      <c r="I307" s="255">
        <f>IF(G307=-1,-1,VLOOKUP(G307,Data_Descriptions!$A:$B,2,0))</f>
        <v>-1</v>
      </c>
      <c r="J307" s="11"/>
      <c r="K307" s="11"/>
      <c r="L307" s="255"/>
      <c r="M307" s="11"/>
    </row>
    <row r="308" spans="4:13" x14ac:dyDescent="0.2">
      <c r="D308" s="11">
        <v>-1</v>
      </c>
      <c r="E308" s="201"/>
      <c r="F308" s="255">
        <f>IF(D308=-1,-1,VLOOKUP(D308,Data_Descriptions!$A:$B,2,0))</f>
        <v>-1</v>
      </c>
      <c r="G308" s="11">
        <v>-1</v>
      </c>
      <c r="H308" s="11"/>
      <c r="I308" s="255">
        <f>IF(G308=-1,-1,VLOOKUP(G308,Data_Descriptions!$A:$B,2,0))</f>
        <v>-1</v>
      </c>
      <c r="J308" s="11"/>
      <c r="K308" s="11"/>
      <c r="L308" s="255"/>
      <c r="M308" s="11"/>
    </row>
  </sheetData>
  <sortState ref="J9:K10">
    <sortCondition ref="J8"/>
  </sortState>
  <mergeCells count="4">
    <mergeCell ref="L3:M3"/>
    <mergeCell ref="L4:M4"/>
    <mergeCell ref="E3:G3"/>
    <mergeCell ref="E4:G4"/>
  </mergeCells>
  <phoneticPr fontId="0" type="noConversion"/>
  <conditionalFormatting sqref="D9:L308">
    <cfRule type="expression" dxfId="2" priority="1" stopIfTrue="1">
      <formula>ISERROR(D9)</formula>
    </cfRule>
    <cfRule type="cellIs" dxfId="1" priority="4" stopIfTrue="1" operator="greaterThan">
      <formula>0</formula>
    </cfRule>
  </conditionalFormatting>
  <conditionalFormatting sqref="D9:M308">
    <cfRule type="expression" dxfId="0" priority="2" stopIfTrue="1">
      <formula>D9=-1</formula>
    </cfRule>
  </conditionalFormatting>
  <pageMargins left="0.39370078740157483" right="0.39370078740157483" top="0.39370078740157483" bottom="0.39370078740157483" header="0.11811023622047245" footer="0.11811023622047245"/>
  <pageSetup paperSize="9" scale="70" orientation="landscape" r:id="rId1"/>
  <headerFooter>
    <oddFooter>&amp;L&amp;G&amp;9     Building Technologies&amp;C&amp;9&amp;F&amp;R&amp;9Page &amp;P of &amp;N          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Button9_Click">
                <anchor moveWithCells="1">
                  <from>
                    <xdr:col>0</xdr:col>
                    <xdr:colOff>152400</xdr:colOff>
                    <xdr:row>3</xdr:row>
                    <xdr:rowOff>76200</xdr:rowOff>
                  </from>
                  <to>
                    <xdr:col>3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AA229"/>
  <sheetViews>
    <sheetView zoomScale="85" zoomScaleNormal="85" workbookViewId="0">
      <selection activeCell="H162" sqref="H162"/>
    </sheetView>
  </sheetViews>
  <sheetFormatPr defaultRowHeight="12.75" outlineLevelRow="1" x14ac:dyDescent="0.2"/>
  <cols>
    <col min="22" max="22" width="15.7109375" customWidth="1"/>
    <col min="23" max="23" width="22" customWidth="1"/>
    <col min="24" max="24" width="9.140625" style="12"/>
    <col min="25" max="25" width="13.7109375" bestFit="1" customWidth="1"/>
    <col min="26" max="26" width="17.85546875" bestFit="1" customWidth="1"/>
    <col min="27" max="27" width="88" bestFit="1" customWidth="1"/>
  </cols>
  <sheetData>
    <row r="1" spans="1:27" x14ac:dyDescent="0.2">
      <c r="B1" s="5" t="s">
        <v>577</v>
      </c>
      <c r="C1" s="5" t="s">
        <v>578</v>
      </c>
    </row>
    <row r="2" spans="1:27" x14ac:dyDescent="0.2">
      <c r="B2" s="69">
        <f t="array" ref="B2">INDEX($E$8:$W$8,MATCH(MIN(ABS($E$7:$W$7-C2)),ABS($E$7:$W$7-C2),0))</f>
        <v>3.2</v>
      </c>
      <c r="C2">
        <v>156</v>
      </c>
    </row>
    <row r="4" spans="1:27" x14ac:dyDescent="0.2">
      <c r="A4" s="215" t="s">
        <v>870</v>
      </c>
    </row>
    <row r="5" spans="1:27" hidden="1" outlineLevel="1" x14ac:dyDescent="0.2"/>
    <row r="6" spans="1:27" hidden="1" outlineLevel="1" x14ac:dyDescent="0.2">
      <c r="A6" s="295" t="s">
        <v>564</v>
      </c>
      <c r="B6" s="295"/>
      <c r="C6" s="295"/>
      <c r="D6" s="295"/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  <c r="V6" s="295"/>
      <c r="W6" s="295"/>
    </row>
    <row r="7" spans="1:27" hidden="1" outlineLevel="1" x14ac:dyDescent="0.2">
      <c r="A7" s="56" t="s">
        <v>560</v>
      </c>
      <c r="B7" s="57"/>
      <c r="C7" s="57"/>
      <c r="D7" s="57"/>
      <c r="E7" s="58">
        <v>30</v>
      </c>
      <c r="F7" s="59">
        <v>35</v>
      </c>
      <c r="G7" s="58">
        <v>40</v>
      </c>
      <c r="H7" s="60">
        <v>50</v>
      </c>
      <c r="I7" s="60">
        <v>60</v>
      </c>
      <c r="J7" s="60">
        <v>70</v>
      </c>
      <c r="K7" s="60">
        <v>80</v>
      </c>
      <c r="L7" s="60">
        <v>90</v>
      </c>
      <c r="M7" s="60">
        <v>100</v>
      </c>
      <c r="N7" s="60">
        <v>110</v>
      </c>
      <c r="O7" s="60">
        <v>120</v>
      </c>
      <c r="P7" s="60">
        <v>130</v>
      </c>
      <c r="Q7" s="60">
        <v>140</v>
      </c>
      <c r="R7" s="60">
        <v>150</v>
      </c>
      <c r="S7" s="70">
        <v>160</v>
      </c>
      <c r="T7" s="74">
        <v>170</v>
      </c>
      <c r="U7" s="60">
        <v>180</v>
      </c>
      <c r="V7" s="60">
        <v>190</v>
      </c>
      <c r="W7" s="60">
        <v>200</v>
      </c>
      <c r="X7" s="6" t="s">
        <v>601</v>
      </c>
      <c r="Y7" s="5" t="s">
        <v>589</v>
      </c>
      <c r="Z7" t="str">
        <f>Y7&amp;X7</f>
        <v>VPI46_15_0.2_LH</v>
      </c>
      <c r="AA7" t="str">
        <f>"{=INDEX(" &amp; Z8 &amp; ",MATCH(MIN(ABS(" &amp; Z7 &amp; "-C8)),ABS(" &amp; Z7 &amp; "-C8),0))}"</f>
        <v>{=INDEX(VPI46_15_0.2_DIAL,MATCH(MIN(ABS(VPI46_15_0.2_LH-C8)),ABS(VPI46_15_0.2_LH-C8),0))}</v>
      </c>
    </row>
    <row r="8" spans="1:27" hidden="1" outlineLevel="1" x14ac:dyDescent="0.2">
      <c r="A8" s="56" t="s">
        <v>561</v>
      </c>
      <c r="B8" s="61" t="s">
        <v>562</v>
      </c>
      <c r="C8" s="60">
        <v>0.2</v>
      </c>
      <c r="D8" s="60">
        <v>0.4</v>
      </c>
      <c r="E8" s="60">
        <v>0.5</v>
      </c>
      <c r="F8" s="62">
        <v>0.6</v>
      </c>
      <c r="G8" s="60">
        <v>0.8</v>
      </c>
      <c r="H8" s="60">
        <v>1</v>
      </c>
      <c r="I8" s="60">
        <v>1.2</v>
      </c>
      <c r="J8" s="60">
        <v>1.4</v>
      </c>
      <c r="K8" s="60">
        <v>1.6</v>
      </c>
      <c r="L8" s="60">
        <v>1.8</v>
      </c>
      <c r="M8" s="60">
        <v>2</v>
      </c>
      <c r="N8" s="60">
        <v>2.2000000000000002</v>
      </c>
      <c r="O8" s="60">
        <v>2.4</v>
      </c>
      <c r="P8" s="60">
        <v>2.6</v>
      </c>
      <c r="Q8" s="60">
        <v>2.8</v>
      </c>
      <c r="R8" s="60">
        <v>3</v>
      </c>
      <c r="S8" s="71">
        <v>3.2</v>
      </c>
      <c r="T8" s="74">
        <v>3.4</v>
      </c>
      <c r="U8" s="60">
        <v>3.6</v>
      </c>
      <c r="V8" s="61">
        <v>3.8</v>
      </c>
      <c r="W8" s="61" t="s">
        <v>563</v>
      </c>
      <c r="X8" s="6" t="s">
        <v>602</v>
      </c>
      <c r="Y8" s="5" t="s">
        <v>589</v>
      </c>
      <c r="Z8" t="str">
        <f t="shared" ref="Z8:Z43" si="0">Y8&amp;X8</f>
        <v>VPI46_15_0.2_DIAL</v>
      </c>
    </row>
    <row r="9" spans="1:27" hidden="1" outlineLevel="1" x14ac:dyDescent="0.2">
      <c r="A9" s="295" t="s">
        <v>565</v>
      </c>
      <c r="B9" s="295"/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  <c r="P9" s="295"/>
      <c r="Q9" s="295"/>
      <c r="R9" s="295"/>
      <c r="S9" s="295"/>
      <c r="T9" s="295"/>
      <c r="U9" s="295"/>
      <c r="V9" s="295"/>
      <c r="W9" s="295"/>
    </row>
    <row r="10" spans="1:27" hidden="1" outlineLevel="1" x14ac:dyDescent="0.2">
      <c r="A10" s="56" t="s">
        <v>560</v>
      </c>
      <c r="B10" s="57"/>
      <c r="C10" s="57"/>
      <c r="D10" s="64"/>
      <c r="E10" s="60">
        <v>100</v>
      </c>
      <c r="F10" s="62">
        <v>115</v>
      </c>
      <c r="G10" s="60">
        <v>130</v>
      </c>
      <c r="H10" s="60">
        <v>160</v>
      </c>
      <c r="I10" s="60">
        <v>180</v>
      </c>
      <c r="J10" s="60">
        <v>210</v>
      </c>
      <c r="K10" s="60">
        <v>240</v>
      </c>
      <c r="L10" s="60">
        <v>270</v>
      </c>
      <c r="M10" s="60">
        <v>300</v>
      </c>
      <c r="N10" s="60">
        <v>320</v>
      </c>
      <c r="O10" s="60">
        <v>350</v>
      </c>
      <c r="P10" s="60">
        <v>380</v>
      </c>
      <c r="Q10" s="60">
        <v>410</v>
      </c>
      <c r="R10" s="60">
        <v>440</v>
      </c>
      <c r="S10" s="70">
        <v>460</v>
      </c>
      <c r="T10" s="74">
        <v>490</v>
      </c>
      <c r="U10" s="60">
        <v>520</v>
      </c>
      <c r="V10" s="60">
        <v>550</v>
      </c>
      <c r="W10" s="60">
        <v>575</v>
      </c>
      <c r="X10" s="6" t="s">
        <v>601</v>
      </c>
      <c r="Y10" s="5" t="s">
        <v>590</v>
      </c>
      <c r="Z10" t="str">
        <f t="shared" si="0"/>
        <v>VPI46_15_0.6_LH</v>
      </c>
      <c r="AA10" t="str">
        <f>"{=INDEX(" &amp; Z11 &amp; ",MATCH(MIN(ABS(" &amp; Z10 &amp; "-C8)),ABS(" &amp; Z10 &amp; "-C8),0))}"</f>
        <v>{=INDEX(VPI46_15_0.6_DIAL,MATCH(MIN(ABS(VPI46_15_0.6_LH-C8)),ABS(VPI46_15_0.6_LH-C8),0))}</v>
      </c>
    </row>
    <row r="11" spans="1:27" hidden="1" outlineLevel="1" x14ac:dyDescent="0.2">
      <c r="A11" s="56" t="s">
        <v>561</v>
      </c>
      <c r="B11" s="61" t="s">
        <v>562</v>
      </c>
      <c r="C11" s="60">
        <v>0.2</v>
      </c>
      <c r="D11" s="60">
        <v>0.4</v>
      </c>
      <c r="E11" s="60">
        <v>0.5</v>
      </c>
      <c r="F11" s="62">
        <v>0.6</v>
      </c>
      <c r="G11" s="60">
        <v>0.8</v>
      </c>
      <c r="H11" s="60">
        <v>1</v>
      </c>
      <c r="I11" s="60">
        <v>1.2</v>
      </c>
      <c r="J11" s="60">
        <v>1.4</v>
      </c>
      <c r="K11" s="60">
        <v>1.6</v>
      </c>
      <c r="L11" s="60">
        <v>1.8</v>
      </c>
      <c r="M11" s="60">
        <v>2</v>
      </c>
      <c r="N11" s="60">
        <v>2.2000000000000002</v>
      </c>
      <c r="O11" s="60">
        <v>2.4</v>
      </c>
      <c r="P11" s="60">
        <v>2.6</v>
      </c>
      <c r="Q11" s="60">
        <v>2.8</v>
      </c>
      <c r="R11" s="60">
        <v>3</v>
      </c>
      <c r="S11" s="71">
        <v>3.2</v>
      </c>
      <c r="T11" s="74">
        <v>3.4</v>
      </c>
      <c r="U11" s="60">
        <v>3.6</v>
      </c>
      <c r="V11" s="60">
        <v>3.8</v>
      </c>
      <c r="W11" s="61" t="s">
        <v>563</v>
      </c>
      <c r="X11" s="6" t="s">
        <v>602</v>
      </c>
      <c r="Y11" s="5" t="s">
        <v>590</v>
      </c>
      <c r="Z11" t="str">
        <f t="shared" si="0"/>
        <v>VPI46_15_0.6_DIAL</v>
      </c>
    </row>
    <row r="12" spans="1:27" hidden="1" outlineLevel="1" x14ac:dyDescent="0.2">
      <c r="A12" s="295" t="s">
        <v>566</v>
      </c>
      <c r="B12" s="295"/>
      <c r="C12" s="295"/>
      <c r="D12" s="295"/>
      <c r="E12" s="295"/>
      <c r="F12" s="295"/>
      <c r="G12" s="295"/>
      <c r="H12" s="295"/>
      <c r="I12" s="295"/>
      <c r="J12" s="295"/>
      <c r="K12" s="295"/>
      <c r="L12" s="295"/>
      <c r="M12" s="295"/>
      <c r="N12" s="295"/>
      <c r="O12" s="295"/>
      <c r="P12" s="295"/>
      <c r="Q12" s="295"/>
      <c r="R12" s="295"/>
      <c r="S12" s="295"/>
      <c r="T12" s="295"/>
      <c r="U12" s="295"/>
      <c r="V12" s="295"/>
      <c r="W12" s="295"/>
    </row>
    <row r="13" spans="1:27" hidden="1" outlineLevel="1" x14ac:dyDescent="0.2">
      <c r="A13" s="56" t="s">
        <v>560</v>
      </c>
      <c r="B13" s="65"/>
      <c r="C13" s="64"/>
      <c r="D13" s="64"/>
      <c r="E13" s="66"/>
      <c r="F13" s="62">
        <v>220</v>
      </c>
      <c r="G13" s="60">
        <v>290</v>
      </c>
      <c r="H13" s="60">
        <v>350</v>
      </c>
      <c r="I13" s="60">
        <v>420</v>
      </c>
      <c r="J13" s="60">
        <v>480</v>
      </c>
      <c r="K13" s="60">
        <v>550</v>
      </c>
      <c r="L13" s="60">
        <v>610</v>
      </c>
      <c r="M13" s="60">
        <v>680</v>
      </c>
      <c r="N13" s="60">
        <v>740</v>
      </c>
      <c r="O13" s="60">
        <v>810</v>
      </c>
      <c r="P13" s="60">
        <v>870</v>
      </c>
      <c r="Q13" s="60">
        <v>940</v>
      </c>
      <c r="R13" s="60">
        <v>1000</v>
      </c>
      <c r="S13" s="70">
        <v>1070</v>
      </c>
      <c r="T13" s="74">
        <v>1130</v>
      </c>
      <c r="U13" s="60">
        <v>1200</v>
      </c>
      <c r="V13" s="60">
        <v>1260</v>
      </c>
      <c r="W13" s="60">
        <v>1330</v>
      </c>
      <c r="X13" s="6" t="s">
        <v>601</v>
      </c>
      <c r="Y13" s="5" t="s">
        <v>591</v>
      </c>
      <c r="Z13" t="str">
        <f t="shared" si="0"/>
        <v>VPI46_20_1.4_LH</v>
      </c>
      <c r="AA13" t="str">
        <f>"{=INDEX(" &amp; Z14 &amp; ",MATCH(MIN(ABS(" &amp; Z13 &amp; "-C8)),ABS(" &amp; Z13 &amp; "-C8),0))}"</f>
        <v>{=INDEX(VPI46_20_1.4_DIAL,MATCH(MIN(ABS(VPI46_20_1.4_LH-C8)),ABS(VPI46_20_1.4_LH-C8),0))}</v>
      </c>
    </row>
    <row r="14" spans="1:27" hidden="1" outlineLevel="1" x14ac:dyDescent="0.2">
      <c r="A14" s="56" t="s">
        <v>561</v>
      </c>
      <c r="B14" s="61" t="s">
        <v>562</v>
      </c>
      <c r="C14" s="60">
        <v>0.2</v>
      </c>
      <c r="D14" s="60">
        <v>0.4</v>
      </c>
      <c r="E14" s="60">
        <v>0.5</v>
      </c>
      <c r="F14" s="62">
        <v>0.6</v>
      </c>
      <c r="G14" s="60">
        <v>0.8</v>
      </c>
      <c r="H14" s="60">
        <v>1</v>
      </c>
      <c r="I14" s="60">
        <v>1.2</v>
      </c>
      <c r="J14" s="60">
        <v>1.4</v>
      </c>
      <c r="K14" s="60">
        <v>1.6</v>
      </c>
      <c r="L14" s="60">
        <v>1.8</v>
      </c>
      <c r="M14" s="60">
        <v>2</v>
      </c>
      <c r="N14" s="60">
        <v>2.2000000000000002</v>
      </c>
      <c r="O14" s="60">
        <v>2.4</v>
      </c>
      <c r="P14" s="60">
        <v>2.6</v>
      </c>
      <c r="Q14" s="60">
        <v>2.8</v>
      </c>
      <c r="R14" s="60">
        <v>3</v>
      </c>
      <c r="S14" s="71">
        <v>3.2</v>
      </c>
      <c r="T14" s="74">
        <v>3.4</v>
      </c>
      <c r="U14" s="60">
        <v>3.6</v>
      </c>
      <c r="V14" s="60">
        <v>3.8</v>
      </c>
      <c r="W14" s="61" t="s">
        <v>563</v>
      </c>
      <c r="X14" s="6" t="s">
        <v>602</v>
      </c>
      <c r="Y14" s="5" t="s">
        <v>591</v>
      </c>
      <c r="Z14" t="str">
        <f t="shared" si="0"/>
        <v>VPI46_20_1.4_DIAL</v>
      </c>
    </row>
    <row r="15" spans="1:27" hidden="1" outlineLevel="1" x14ac:dyDescent="0.2"/>
    <row r="16" spans="1:27" hidden="1" outlineLevel="1" x14ac:dyDescent="0.2"/>
    <row r="17" spans="1:27" hidden="1" outlineLevel="1" x14ac:dyDescent="0.2">
      <c r="A17" s="296" t="s">
        <v>567</v>
      </c>
      <c r="B17" s="296"/>
      <c r="C17" s="296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296"/>
      <c r="V17" s="296"/>
      <c r="X17" s="98"/>
      <c r="Y17" s="94"/>
      <c r="Z17" s="94"/>
    </row>
    <row r="18" spans="1:27" hidden="1" outlineLevel="1" x14ac:dyDescent="0.2">
      <c r="A18" s="56" t="s">
        <v>560</v>
      </c>
      <c r="B18" s="57"/>
      <c r="C18" s="57"/>
      <c r="D18" s="57"/>
      <c r="E18" s="67">
        <v>90</v>
      </c>
      <c r="F18" s="67">
        <v>130</v>
      </c>
      <c r="G18" s="67">
        <v>160</v>
      </c>
      <c r="H18" s="67">
        <v>190</v>
      </c>
      <c r="I18" s="67">
        <v>220</v>
      </c>
      <c r="J18" s="67">
        <v>250</v>
      </c>
      <c r="K18" s="67">
        <v>280</v>
      </c>
      <c r="L18" s="67">
        <v>310</v>
      </c>
      <c r="M18" s="67">
        <v>340</v>
      </c>
      <c r="N18" s="67">
        <v>380</v>
      </c>
      <c r="O18" s="67">
        <v>410</v>
      </c>
      <c r="P18" s="67">
        <v>440</v>
      </c>
      <c r="Q18" s="67">
        <v>470</v>
      </c>
      <c r="R18" s="72">
        <v>500</v>
      </c>
      <c r="S18" s="67">
        <v>530</v>
      </c>
      <c r="T18" s="67">
        <v>560</v>
      </c>
      <c r="U18" s="67">
        <v>590</v>
      </c>
      <c r="V18" s="67">
        <v>620</v>
      </c>
      <c r="X18" s="99" t="s">
        <v>601</v>
      </c>
      <c r="Y18" s="95" t="s">
        <v>592</v>
      </c>
      <c r="Z18" s="94" t="str">
        <f t="shared" si="0"/>
        <v>VPI45_15_0.5_LH</v>
      </c>
      <c r="AA18" t="str">
        <f>"{=INDEX(" &amp; Z19 &amp; ",MATCH(MIN(ABS(" &amp; Z18 &amp; "-C8)),ABS(" &amp; Z18 &amp; "-C8),0))}"</f>
        <v>{=INDEX(VPI45_15_0.5_DIAL,MATCH(MIN(ABS(VPI45_15_0.5_LH-C8)),ABS(VPI45_15_0.5_LH-C8),0))}</v>
      </c>
    </row>
    <row r="19" spans="1:27" hidden="1" outlineLevel="1" x14ac:dyDescent="0.2">
      <c r="A19" s="56" t="s">
        <v>561</v>
      </c>
      <c r="B19" s="61" t="s">
        <v>562</v>
      </c>
      <c r="C19" s="61">
        <v>0.2</v>
      </c>
      <c r="D19" s="61">
        <v>0.4</v>
      </c>
      <c r="E19" s="61">
        <v>0.6</v>
      </c>
      <c r="F19" s="61">
        <v>0.8</v>
      </c>
      <c r="G19" s="61">
        <v>1</v>
      </c>
      <c r="H19" s="61">
        <v>1.2</v>
      </c>
      <c r="I19" s="61">
        <v>1.4</v>
      </c>
      <c r="J19" s="61">
        <v>1.6</v>
      </c>
      <c r="K19" s="61">
        <v>1.8</v>
      </c>
      <c r="L19" s="61">
        <v>2</v>
      </c>
      <c r="M19" s="61">
        <v>2.2000000000000002</v>
      </c>
      <c r="N19" s="61">
        <v>2.4</v>
      </c>
      <c r="O19" s="61">
        <v>2.6</v>
      </c>
      <c r="P19" s="61">
        <v>2.8</v>
      </c>
      <c r="Q19" s="61">
        <v>3</v>
      </c>
      <c r="R19" s="73">
        <v>3.2</v>
      </c>
      <c r="S19" s="61">
        <v>3.4</v>
      </c>
      <c r="T19" s="61">
        <v>3.6</v>
      </c>
      <c r="U19" s="61">
        <v>3.8</v>
      </c>
      <c r="V19" s="61" t="s">
        <v>563</v>
      </c>
      <c r="X19" s="99" t="s">
        <v>602</v>
      </c>
      <c r="Y19" s="95" t="s">
        <v>592</v>
      </c>
      <c r="Z19" s="94" t="str">
        <f t="shared" si="0"/>
        <v>VPI45_15_0.5_DIAL</v>
      </c>
    </row>
    <row r="20" spans="1:27" hidden="1" outlineLevel="1" x14ac:dyDescent="0.2">
      <c r="A20" s="295" t="s">
        <v>568</v>
      </c>
      <c r="B20" s="295"/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95"/>
      <c r="P20" s="295"/>
      <c r="Q20" s="295"/>
      <c r="R20" s="295"/>
      <c r="S20" s="295"/>
      <c r="T20" s="295"/>
      <c r="U20" s="295"/>
      <c r="V20" s="295"/>
      <c r="X20" s="98"/>
      <c r="Y20" s="78"/>
      <c r="Z20" s="94"/>
    </row>
    <row r="21" spans="1:27" hidden="1" outlineLevel="1" x14ac:dyDescent="0.2">
      <c r="A21" s="56" t="s">
        <v>560</v>
      </c>
      <c r="B21" s="57"/>
      <c r="C21" s="57"/>
      <c r="D21" s="63"/>
      <c r="E21" s="67">
        <v>290</v>
      </c>
      <c r="F21" s="67">
        <v>400</v>
      </c>
      <c r="G21" s="67">
        <v>500</v>
      </c>
      <c r="H21" s="67">
        <v>600</v>
      </c>
      <c r="I21" s="67">
        <v>710</v>
      </c>
      <c r="J21" s="67">
        <v>810</v>
      </c>
      <c r="K21" s="67">
        <v>910</v>
      </c>
      <c r="L21" s="67">
        <v>1010</v>
      </c>
      <c r="M21" s="67">
        <v>1100</v>
      </c>
      <c r="N21" s="67">
        <v>1200</v>
      </c>
      <c r="O21" s="67">
        <v>1280</v>
      </c>
      <c r="P21" s="67">
        <v>1370</v>
      </c>
      <c r="Q21" s="67">
        <v>1440</v>
      </c>
      <c r="R21" s="72">
        <v>1520</v>
      </c>
      <c r="S21" s="67">
        <v>1580</v>
      </c>
      <c r="T21" s="67">
        <v>1640</v>
      </c>
      <c r="U21" s="67">
        <v>1680</v>
      </c>
      <c r="V21" s="67">
        <v>1730</v>
      </c>
      <c r="X21" s="99" t="s">
        <v>601</v>
      </c>
      <c r="Y21" s="95" t="s">
        <v>593</v>
      </c>
      <c r="Z21" s="94" t="str">
        <f t="shared" si="0"/>
        <v>VPI45_15_1.5_LH</v>
      </c>
      <c r="AA21" t="str">
        <f>"{=INDEX(" &amp; Z22 &amp; ",MATCH(MIN(ABS(" &amp; Z21 &amp; "-C8)),ABS(" &amp; Z21 &amp; "-C8),0))}"</f>
        <v>{=INDEX(VPI45_15_1.5_DIAL,MATCH(MIN(ABS(VPI45_15_1.5_LH-C8)),ABS(VPI45_15_1.5_LH-C8),0))}</v>
      </c>
    </row>
    <row r="22" spans="1:27" hidden="1" outlineLevel="1" x14ac:dyDescent="0.2">
      <c r="A22" s="56" t="s">
        <v>561</v>
      </c>
      <c r="B22" s="61" t="s">
        <v>562</v>
      </c>
      <c r="C22" s="61">
        <v>0.2</v>
      </c>
      <c r="D22" s="61">
        <v>0.4</v>
      </c>
      <c r="E22" s="61">
        <v>0.6</v>
      </c>
      <c r="F22" s="61">
        <v>0.8</v>
      </c>
      <c r="G22" s="61">
        <v>1</v>
      </c>
      <c r="H22" s="61">
        <v>1.2</v>
      </c>
      <c r="I22" s="61">
        <v>1.4</v>
      </c>
      <c r="J22" s="61">
        <v>1.6</v>
      </c>
      <c r="K22" s="61">
        <v>1.8</v>
      </c>
      <c r="L22" s="61">
        <v>2</v>
      </c>
      <c r="M22" s="61">
        <v>2.2000000000000002</v>
      </c>
      <c r="N22" s="61">
        <v>2.4</v>
      </c>
      <c r="O22" s="61">
        <v>2.6</v>
      </c>
      <c r="P22" s="61">
        <v>2.8</v>
      </c>
      <c r="Q22" s="61">
        <v>3</v>
      </c>
      <c r="R22" s="73">
        <v>3.2</v>
      </c>
      <c r="S22" s="61">
        <v>3.4</v>
      </c>
      <c r="T22" s="61">
        <v>3.6</v>
      </c>
      <c r="U22" s="61">
        <v>3.8</v>
      </c>
      <c r="V22" s="61" t="s">
        <v>563</v>
      </c>
      <c r="X22" s="99" t="s">
        <v>602</v>
      </c>
      <c r="Y22" s="95" t="s">
        <v>593</v>
      </c>
      <c r="Z22" s="94" t="str">
        <f t="shared" si="0"/>
        <v>VPI45_15_1.5_DIAL</v>
      </c>
    </row>
    <row r="23" spans="1:27" hidden="1" outlineLevel="1" x14ac:dyDescent="0.2">
      <c r="A23" s="295" t="s">
        <v>569</v>
      </c>
      <c r="B23" s="295"/>
      <c r="C23" s="295"/>
      <c r="D23" s="295"/>
      <c r="E23" s="295"/>
      <c r="F23" s="295"/>
      <c r="G23" s="295"/>
      <c r="H23" s="295"/>
      <c r="I23" s="295"/>
      <c r="J23" s="295"/>
      <c r="K23" s="295"/>
      <c r="L23" s="295"/>
      <c r="M23" s="295"/>
      <c r="N23" s="295"/>
      <c r="O23" s="295"/>
      <c r="P23" s="295"/>
      <c r="Q23" s="295"/>
      <c r="R23" s="295"/>
      <c r="S23" s="295"/>
      <c r="T23" s="295"/>
      <c r="U23" s="295"/>
      <c r="V23" s="295"/>
      <c r="X23" s="98"/>
      <c r="Y23" s="78"/>
      <c r="Z23" s="94"/>
    </row>
    <row r="24" spans="1:27" hidden="1" outlineLevel="1" x14ac:dyDescent="0.2">
      <c r="A24" s="56" t="s">
        <v>560</v>
      </c>
      <c r="B24" s="57"/>
      <c r="C24" s="57"/>
      <c r="D24" s="63"/>
      <c r="E24" s="67">
        <v>160</v>
      </c>
      <c r="F24" s="67">
        <v>210</v>
      </c>
      <c r="G24" s="67">
        <v>260</v>
      </c>
      <c r="H24" s="67">
        <v>320</v>
      </c>
      <c r="I24" s="67">
        <v>370</v>
      </c>
      <c r="J24" s="67">
        <v>420</v>
      </c>
      <c r="K24" s="67">
        <v>470</v>
      </c>
      <c r="L24" s="67">
        <v>530</v>
      </c>
      <c r="M24" s="67">
        <v>580</v>
      </c>
      <c r="N24" s="67">
        <v>630</v>
      </c>
      <c r="O24" s="67">
        <v>680</v>
      </c>
      <c r="P24" s="67">
        <v>740</v>
      </c>
      <c r="Q24" s="67">
        <v>790</v>
      </c>
      <c r="R24" s="72">
        <v>840</v>
      </c>
      <c r="S24" s="67">
        <v>890</v>
      </c>
      <c r="T24" s="67">
        <v>950</v>
      </c>
      <c r="U24" s="67">
        <v>1000</v>
      </c>
      <c r="V24" s="67">
        <v>1050</v>
      </c>
      <c r="X24" s="99" t="s">
        <v>601</v>
      </c>
      <c r="Y24" s="95" t="s">
        <v>594</v>
      </c>
      <c r="Z24" s="94" t="str">
        <f t="shared" si="0"/>
        <v>VPI45_20_0.9_LH</v>
      </c>
      <c r="AA24" t="str">
        <f>"{=INDEX(" &amp; Z25 &amp; ",MATCH(MIN(ABS(" &amp; Z24 &amp; "-C8)),ABS(" &amp; Z24 &amp; "-C8),0))}"</f>
        <v>{=INDEX(VPI45_20_0.9_DIAL,MATCH(MIN(ABS(VPI45_20_0.9_LH-C8)),ABS(VPI45_20_0.9_LH-C8),0))}</v>
      </c>
    </row>
    <row r="25" spans="1:27" hidden="1" outlineLevel="1" x14ac:dyDescent="0.2">
      <c r="A25" s="56" t="s">
        <v>561</v>
      </c>
      <c r="B25" s="61" t="s">
        <v>562</v>
      </c>
      <c r="C25" s="61">
        <v>0.2</v>
      </c>
      <c r="D25" s="61">
        <v>0.4</v>
      </c>
      <c r="E25" s="61">
        <v>0.6</v>
      </c>
      <c r="F25" s="61">
        <v>0.8</v>
      </c>
      <c r="G25" s="61">
        <v>1</v>
      </c>
      <c r="H25" s="61">
        <v>1.2</v>
      </c>
      <c r="I25" s="61">
        <v>1.4</v>
      </c>
      <c r="J25" s="61">
        <v>1.6</v>
      </c>
      <c r="K25" s="61">
        <v>1.8</v>
      </c>
      <c r="L25" s="61">
        <v>2</v>
      </c>
      <c r="M25" s="61">
        <v>2.2000000000000002</v>
      </c>
      <c r="N25" s="61">
        <v>2.4</v>
      </c>
      <c r="O25" s="61">
        <v>2.6</v>
      </c>
      <c r="P25" s="61">
        <v>2.8</v>
      </c>
      <c r="Q25" s="61">
        <v>3</v>
      </c>
      <c r="R25" s="73">
        <v>3.2</v>
      </c>
      <c r="S25" s="61">
        <v>3.4</v>
      </c>
      <c r="T25" s="61">
        <v>3.6</v>
      </c>
      <c r="U25" s="61">
        <v>3.8</v>
      </c>
      <c r="V25" s="61" t="s">
        <v>563</v>
      </c>
      <c r="X25" s="99" t="s">
        <v>602</v>
      </c>
      <c r="Y25" s="95" t="s">
        <v>594</v>
      </c>
      <c r="Z25" s="94" t="str">
        <f t="shared" si="0"/>
        <v>VPI45_20_0.9_DIAL</v>
      </c>
    </row>
    <row r="26" spans="1:27" hidden="1" outlineLevel="1" x14ac:dyDescent="0.2">
      <c r="A26" s="295" t="s">
        <v>570</v>
      </c>
      <c r="B26" s="295"/>
      <c r="C26" s="295"/>
      <c r="D26" s="295"/>
      <c r="E26" s="295"/>
      <c r="F26" s="295"/>
      <c r="G26" s="295"/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5"/>
      <c r="T26" s="295"/>
      <c r="U26" s="295"/>
      <c r="V26" s="295"/>
      <c r="X26" s="98"/>
      <c r="Y26" s="78"/>
      <c r="Z26" s="94"/>
    </row>
    <row r="27" spans="1:27" hidden="1" outlineLevel="1" x14ac:dyDescent="0.2">
      <c r="A27" s="56" t="s">
        <v>560</v>
      </c>
      <c r="B27" s="57"/>
      <c r="C27" s="57"/>
      <c r="D27" s="63"/>
      <c r="E27" s="67">
        <v>350</v>
      </c>
      <c r="F27" s="67">
        <v>460</v>
      </c>
      <c r="G27" s="67">
        <v>580</v>
      </c>
      <c r="H27" s="67">
        <v>690</v>
      </c>
      <c r="I27" s="67">
        <v>810</v>
      </c>
      <c r="J27" s="67">
        <v>920</v>
      </c>
      <c r="K27" s="67">
        <v>1040</v>
      </c>
      <c r="L27" s="67">
        <v>1150</v>
      </c>
      <c r="M27" s="67">
        <v>1270</v>
      </c>
      <c r="N27" s="67">
        <v>1380</v>
      </c>
      <c r="O27" s="67">
        <v>1490</v>
      </c>
      <c r="P27" s="67">
        <v>1600</v>
      </c>
      <c r="Q27" s="67">
        <v>1700</v>
      </c>
      <c r="R27" s="72">
        <v>1790</v>
      </c>
      <c r="S27" s="67">
        <v>1880</v>
      </c>
      <c r="T27" s="67">
        <v>1950</v>
      </c>
      <c r="U27" s="67">
        <v>2000</v>
      </c>
      <c r="V27" s="67">
        <v>2040</v>
      </c>
      <c r="X27" s="99" t="s">
        <v>601</v>
      </c>
      <c r="Y27" s="95" t="s">
        <v>595</v>
      </c>
      <c r="Z27" s="94" t="str">
        <f t="shared" si="0"/>
        <v>VPI45_20_2_LH</v>
      </c>
      <c r="AA27" t="str">
        <f>"{=INDEX(" &amp; Z28 &amp; ",MATCH(MIN(ABS(" &amp; Z27 &amp; "-C8)),ABS(" &amp; Z27 &amp; "-C8),0))}"</f>
        <v>{=INDEX(VPI45_20_2_DIAL,MATCH(MIN(ABS(VPI45_20_2_LH-C8)),ABS(VPI45_20_2_LH-C8),0))}</v>
      </c>
    </row>
    <row r="28" spans="1:27" hidden="1" outlineLevel="1" x14ac:dyDescent="0.2">
      <c r="A28" s="56" t="s">
        <v>561</v>
      </c>
      <c r="B28" s="61" t="s">
        <v>562</v>
      </c>
      <c r="C28" s="61">
        <v>0.2</v>
      </c>
      <c r="D28" s="61">
        <v>0.4</v>
      </c>
      <c r="E28" s="61">
        <v>0.6</v>
      </c>
      <c r="F28" s="61">
        <v>0.8</v>
      </c>
      <c r="G28" s="61">
        <v>1</v>
      </c>
      <c r="H28" s="61">
        <v>1.2</v>
      </c>
      <c r="I28" s="61">
        <v>1.4</v>
      </c>
      <c r="J28" s="61">
        <v>1.6</v>
      </c>
      <c r="K28" s="61">
        <v>1.8</v>
      </c>
      <c r="L28" s="61">
        <v>2</v>
      </c>
      <c r="M28" s="61">
        <v>2.2000000000000002</v>
      </c>
      <c r="N28" s="61">
        <v>2.4</v>
      </c>
      <c r="O28" s="61">
        <v>2.6</v>
      </c>
      <c r="P28" s="61">
        <v>2.8</v>
      </c>
      <c r="Q28" s="61">
        <v>3</v>
      </c>
      <c r="R28" s="73">
        <v>3.2</v>
      </c>
      <c r="S28" s="61">
        <v>3.4</v>
      </c>
      <c r="T28" s="61">
        <v>3.6</v>
      </c>
      <c r="U28" s="61">
        <v>3.8</v>
      </c>
      <c r="V28" s="61" t="s">
        <v>563</v>
      </c>
      <c r="X28" s="99" t="s">
        <v>602</v>
      </c>
      <c r="Y28" s="95" t="s">
        <v>595</v>
      </c>
      <c r="Z28" s="94" t="str">
        <f t="shared" si="0"/>
        <v>VPI45_20_2_DIAL</v>
      </c>
    </row>
    <row r="29" spans="1:27" hidden="1" outlineLevel="1" x14ac:dyDescent="0.2">
      <c r="A29" s="295" t="s">
        <v>571</v>
      </c>
      <c r="B29" s="295"/>
      <c r="C29" s="295"/>
      <c r="D29" s="295"/>
      <c r="E29" s="295"/>
      <c r="F29" s="295"/>
      <c r="G29" s="295"/>
      <c r="H29" s="295"/>
      <c r="I29" s="295"/>
      <c r="J29" s="295"/>
      <c r="K29" s="295"/>
      <c r="L29" s="295"/>
      <c r="M29" s="295"/>
      <c r="N29" s="295"/>
      <c r="O29" s="295"/>
      <c r="P29" s="295"/>
      <c r="Q29" s="295"/>
      <c r="R29" s="295"/>
      <c r="S29" s="295"/>
      <c r="T29" s="295"/>
      <c r="U29" s="295"/>
      <c r="V29" s="295"/>
      <c r="X29" s="98"/>
      <c r="Y29" s="78"/>
      <c r="Z29" s="94"/>
    </row>
    <row r="30" spans="1:27" hidden="1" outlineLevel="1" x14ac:dyDescent="0.2">
      <c r="A30" s="56" t="s">
        <v>560</v>
      </c>
      <c r="B30" s="57"/>
      <c r="C30" s="57"/>
      <c r="D30" s="63"/>
      <c r="E30" s="67">
        <v>280</v>
      </c>
      <c r="F30" s="67">
        <v>380</v>
      </c>
      <c r="G30" s="67">
        <v>490</v>
      </c>
      <c r="H30" s="67">
        <v>590</v>
      </c>
      <c r="I30" s="67">
        <v>700</v>
      </c>
      <c r="J30" s="67">
        <v>800</v>
      </c>
      <c r="K30" s="67">
        <v>900</v>
      </c>
      <c r="L30" s="67">
        <v>1010</v>
      </c>
      <c r="M30" s="67">
        <v>1100</v>
      </c>
      <c r="N30" s="67">
        <v>1200</v>
      </c>
      <c r="O30" s="67">
        <v>1290</v>
      </c>
      <c r="P30" s="67">
        <v>1370</v>
      </c>
      <c r="Q30" s="67">
        <v>1450</v>
      </c>
      <c r="R30" s="72">
        <v>1520</v>
      </c>
      <c r="S30" s="67">
        <v>1590</v>
      </c>
      <c r="T30" s="67">
        <v>1640</v>
      </c>
      <c r="U30" s="67">
        <v>1690</v>
      </c>
      <c r="V30" s="67">
        <v>1720</v>
      </c>
      <c r="X30" s="99" t="s">
        <v>601</v>
      </c>
      <c r="Y30" s="95" t="s">
        <v>596</v>
      </c>
      <c r="Z30" s="94" t="str">
        <f t="shared" si="0"/>
        <v>VPI45_25_1.5_LH</v>
      </c>
      <c r="AA30" t="str">
        <f>"{=INDEX(" &amp; Z31 &amp; ",MATCH(MIN(ABS(" &amp; Z30 &amp; "-C8)),ABS(" &amp; Z30 &amp; "-C8),0))}"</f>
        <v>{=INDEX(VPI45_25_1.5_DIAL,MATCH(MIN(ABS(VPI45_25_1.5_LH-C8)),ABS(VPI45_25_1.5_LH-C8),0))}</v>
      </c>
    </row>
    <row r="31" spans="1:27" hidden="1" outlineLevel="1" x14ac:dyDescent="0.2">
      <c r="A31" s="56" t="s">
        <v>561</v>
      </c>
      <c r="B31" s="61" t="s">
        <v>562</v>
      </c>
      <c r="C31" s="61">
        <v>0.2</v>
      </c>
      <c r="D31" s="61">
        <v>0.4</v>
      </c>
      <c r="E31" s="61">
        <v>0.6</v>
      </c>
      <c r="F31" s="61">
        <v>0.8</v>
      </c>
      <c r="G31" s="61">
        <v>1</v>
      </c>
      <c r="H31" s="61">
        <v>1.2</v>
      </c>
      <c r="I31" s="61">
        <v>1.4</v>
      </c>
      <c r="J31" s="61">
        <v>1.6</v>
      </c>
      <c r="K31" s="61">
        <v>1.8</v>
      </c>
      <c r="L31" s="61">
        <v>2</v>
      </c>
      <c r="M31" s="61">
        <v>2.2000000000000002</v>
      </c>
      <c r="N31" s="61">
        <v>2.4</v>
      </c>
      <c r="O31" s="61">
        <v>2.6</v>
      </c>
      <c r="P31" s="61">
        <v>2.8</v>
      </c>
      <c r="Q31" s="61">
        <v>3</v>
      </c>
      <c r="R31" s="73">
        <v>3.2</v>
      </c>
      <c r="S31" s="61">
        <v>3.4</v>
      </c>
      <c r="T31" s="61">
        <v>3.6</v>
      </c>
      <c r="U31" s="61">
        <v>3.8</v>
      </c>
      <c r="V31" s="61" t="s">
        <v>563</v>
      </c>
      <c r="X31" s="99" t="s">
        <v>602</v>
      </c>
      <c r="Y31" s="95" t="s">
        <v>596</v>
      </c>
      <c r="Z31" s="94" t="str">
        <f t="shared" si="0"/>
        <v>VPI45_25_1.5_DIAL</v>
      </c>
    </row>
    <row r="32" spans="1:27" hidden="1" outlineLevel="1" x14ac:dyDescent="0.2">
      <c r="A32" s="295" t="s">
        <v>572</v>
      </c>
      <c r="B32" s="295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  <c r="N32" s="295"/>
      <c r="O32" s="295"/>
      <c r="P32" s="295"/>
      <c r="Q32" s="295"/>
      <c r="R32" s="295"/>
      <c r="S32" s="295"/>
      <c r="T32" s="295"/>
      <c r="U32" s="295"/>
      <c r="V32" s="295"/>
      <c r="X32" s="98"/>
      <c r="Y32" s="78"/>
      <c r="Z32" s="94"/>
    </row>
    <row r="33" spans="1:27" hidden="1" outlineLevel="1" x14ac:dyDescent="0.2">
      <c r="A33" s="56" t="s">
        <v>560</v>
      </c>
      <c r="B33" s="57"/>
      <c r="C33" s="57"/>
      <c r="D33" s="63"/>
      <c r="E33" s="67">
        <v>350</v>
      </c>
      <c r="F33" s="67">
        <v>460</v>
      </c>
      <c r="G33" s="67">
        <v>580</v>
      </c>
      <c r="H33" s="67">
        <v>690</v>
      </c>
      <c r="I33" s="67">
        <v>810</v>
      </c>
      <c r="J33" s="67">
        <v>920</v>
      </c>
      <c r="K33" s="67">
        <v>1040</v>
      </c>
      <c r="L33" s="67">
        <v>1150</v>
      </c>
      <c r="M33" s="67">
        <v>1270</v>
      </c>
      <c r="N33" s="67">
        <v>1380</v>
      </c>
      <c r="O33" s="67">
        <v>1490</v>
      </c>
      <c r="P33" s="67">
        <v>1600</v>
      </c>
      <c r="Q33" s="67">
        <v>1700</v>
      </c>
      <c r="R33" s="72">
        <v>1790</v>
      </c>
      <c r="S33" s="67">
        <v>1880</v>
      </c>
      <c r="T33" s="67">
        <v>1950</v>
      </c>
      <c r="U33" s="67">
        <v>2000</v>
      </c>
      <c r="V33" s="67">
        <v>2040</v>
      </c>
      <c r="X33" s="99" t="s">
        <v>601</v>
      </c>
      <c r="Y33" s="95" t="s">
        <v>597</v>
      </c>
      <c r="Z33" s="94" t="str">
        <f t="shared" si="0"/>
        <v>VPI45_25_2_LH</v>
      </c>
      <c r="AA33" t="str">
        <f>"{=INDEX(" &amp; Z34 &amp; ",MATCH(MIN(ABS(" &amp; Z33 &amp; "-C8)),ABS(" &amp; Z33 &amp; "-C8),0))}"</f>
        <v>{=INDEX(VPI45_25_2_DIAL,MATCH(MIN(ABS(VPI45_25_2_LH-C8)),ABS(VPI45_25_2_LH-C8),0))}</v>
      </c>
    </row>
    <row r="34" spans="1:27" hidden="1" outlineLevel="1" x14ac:dyDescent="0.2">
      <c r="A34" s="56" t="s">
        <v>561</v>
      </c>
      <c r="B34" s="61" t="s">
        <v>562</v>
      </c>
      <c r="C34" s="61">
        <v>0.2</v>
      </c>
      <c r="D34" s="61">
        <v>0.4</v>
      </c>
      <c r="E34" s="61">
        <v>0.6</v>
      </c>
      <c r="F34" s="61">
        <v>0.8</v>
      </c>
      <c r="G34" s="61">
        <v>1</v>
      </c>
      <c r="H34" s="61">
        <v>1.2</v>
      </c>
      <c r="I34" s="61">
        <v>1.4</v>
      </c>
      <c r="J34" s="61">
        <v>1.6</v>
      </c>
      <c r="K34" s="61">
        <v>1.8</v>
      </c>
      <c r="L34" s="61">
        <v>2</v>
      </c>
      <c r="M34" s="61">
        <v>2.2000000000000002</v>
      </c>
      <c r="N34" s="61">
        <v>2.4</v>
      </c>
      <c r="O34" s="61">
        <v>2.6</v>
      </c>
      <c r="P34" s="61">
        <v>2.8</v>
      </c>
      <c r="Q34" s="61">
        <v>3</v>
      </c>
      <c r="R34" s="73">
        <v>3.2</v>
      </c>
      <c r="S34" s="61">
        <v>3.4</v>
      </c>
      <c r="T34" s="61">
        <v>3.6</v>
      </c>
      <c r="U34" s="61">
        <v>3.8</v>
      </c>
      <c r="V34" s="61" t="s">
        <v>563</v>
      </c>
      <c r="X34" s="99" t="s">
        <v>602</v>
      </c>
      <c r="Y34" s="95" t="s">
        <v>597</v>
      </c>
      <c r="Z34" s="94" t="str">
        <f t="shared" si="0"/>
        <v>VPI45_25_2_DIAL</v>
      </c>
    </row>
    <row r="35" spans="1:27" hidden="1" outlineLevel="1" x14ac:dyDescent="0.2">
      <c r="A35" s="295" t="s">
        <v>573</v>
      </c>
      <c r="B35" s="295"/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X35" s="98"/>
      <c r="Y35" s="78"/>
      <c r="Z35" s="94"/>
    </row>
    <row r="36" spans="1:27" hidden="1" outlineLevel="1" x14ac:dyDescent="0.2">
      <c r="A36" s="68" t="s">
        <v>560</v>
      </c>
      <c r="B36" s="57"/>
      <c r="C36" s="57"/>
      <c r="D36" s="63"/>
      <c r="E36" s="67">
        <v>560</v>
      </c>
      <c r="F36" s="67">
        <v>740</v>
      </c>
      <c r="G36" s="67">
        <v>920</v>
      </c>
      <c r="H36" s="67">
        <v>1100</v>
      </c>
      <c r="I36" s="67">
        <v>1290</v>
      </c>
      <c r="J36" s="67">
        <v>1470</v>
      </c>
      <c r="K36" s="67">
        <v>1640</v>
      </c>
      <c r="L36" s="67">
        <v>1820</v>
      </c>
      <c r="M36" s="67">
        <v>1980</v>
      </c>
      <c r="N36" s="67">
        <v>2140</v>
      </c>
      <c r="O36" s="67">
        <v>2300</v>
      </c>
      <c r="P36" s="67">
        <v>2440</v>
      </c>
      <c r="Q36" s="67">
        <v>2570</v>
      </c>
      <c r="R36" s="72">
        <v>2700</v>
      </c>
      <c r="S36" s="67">
        <v>2810</v>
      </c>
      <c r="T36" s="67">
        <v>2910</v>
      </c>
      <c r="U36" s="67">
        <v>2990</v>
      </c>
      <c r="V36" s="67">
        <v>3050</v>
      </c>
      <c r="X36" s="99" t="s">
        <v>601</v>
      </c>
      <c r="Y36" s="95" t="s">
        <v>598</v>
      </c>
      <c r="Z36" s="94" t="str">
        <f t="shared" si="0"/>
        <v>VPI45_32_3_LH</v>
      </c>
      <c r="AA36" t="str">
        <f>"{=INDEX(" &amp; Z37 &amp; ",MATCH(MIN(ABS(" &amp; Z36 &amp; "-C8)),ABS(" &amp; Z36 &amp; "-C8),0))}"</f>
        <v>{=INDEX(VPI45_32_3_DIAL,MATCH(MIN(ABS(VPI45_32_3_LH-C8)),ABS(VPI45_32_3_LH-C8),0))}</v>
      </c>
    </row>
    <row r="37" spans="1:27" hidden="1" outlineLevel="1" x14ac:dyDescent="0.2">
      <c r="A37" s="68" t="s">
        <v>561</v>
      </c>
      <c r="B37" s="61" t="s">
        <v>562</v>
      </c>
      <c r="C37" s="61">
        <v>0.2</v>
      </c>
      <c r="D37" s="61">
        <v>0.4</v>
      </c>
      <c r="E37" s="61">
        <v>0.6</v>
      </c>
      <c r="F37" s="61">
        <v>0.8</v>
      </c>
      <c r="G37" s="61">
        <v>1</v>
      </c>
      <c r="H37" s="61">
        <v>1.2</v>
      </c>
      <c r="I37" s="61">
        <v>1.4</v>
      </c>
      <c r="J37" s="61">
        <v>1.6</v>
      </c>
      <c r="K37" s="61">
        <v>1.8</v>
      </c>
      <c r="L37" s="61">
        <v>2</v>
      </c>
      <c r="M37" s="61">
        <v>2.2000000000000002</v>
      </c>
      <c r="N37" s="61">
        <v>2.4</v>
      </c>
      <c r="O37" s="61">
        <v>2.6</v>
      </c>
      <c r="P37" s="61">
        <v>2.8</v>
      </c>
      <c r="Q37" s="61">
        <v>3</v>
      </c>
      <c r="R37" s="73">
        <v>3.2</v>
      </c>
      <c r="S37" s="61">
        <v>3.4</v>
      </c>
      <c r="T37" s="61">
        <v>3.6</v>
      </c>
      <c r="U37" s="61">
        <v>3.8</v>
      </c>
      <c r="V37" s="61" t="s">
        <v>563</v>
      </c>
      <c r="X37" s="99" t="s">
        <v>602</v>
      </c>
      <c r="Y37" s="95" t="s">
        <v>598</v>
      </c>
      <c r="Z37" s="94" t="str">
        <f t="shared" si="0"/>
        <v>VPI45_32_3_DIAL</v>
      </c>
    </row>
    <row r="38" spans="1:27" hidden="1" outlineLevel="1" x14ac:dyDescent="0.2">
      <c r="A38" s="295" t="s">
        <v>574</v>
      </c>
      <c r="B38" s="295"/>
      <c r="C38" s="295"/>
      <c r="D38" s="295"/>
      <c r="E38" s="295"/>
      <c r="F38" s="295"/>
      <c r="G38" s="295"/>
      <c r="H38" s="295"/>
      <c r="I38" s="295"/>
      <c r="J38" s="295"/>
      <c r="K38" s="295"/>
      <c r="L38" s="295"/>
      <c r="M38" s="295"/>
      <c r="N38" s="295"/>
      <c r="O38" s="295"/>
      <c r="P38" s="295"/>
      <c r="Q38" s="295"/>
      <c r="R38" s="295"/>
      <c r="S38" s="295"/>
      <c r="T38" s="295"/>
      <c r="U38" s="295"/>
      <c r="V38" s="295"/>
      <c r="X38" s="98"/>
      <c r="Y38" s="78"/>
      <c r="Z38" s="94"/>
    </row>
    <row r="39" spans="1:27" hidden="1" outlineLevel="1" x14ac:dyDescent="0.2">
      <c r="A39" s="68" t="s">
        <v>560</v>
      </c>
      <c r="B39" s="57"/>
      <c r="C39" s="57"/>
      <c r="D39" s="63"/>
      <c r="E39" s="67">
        <v>2355</v>
      </c>
      <c r="F39" s="67">
        <v>2974</v>
      </c>
      <c r="G39" s="67">
        <v>3538</v>
      </c>
      <c r="H39" s="67">
        <v>4056</v>
      </c>
      <c r="I39" s="67">
        <v>4534</v>
      </c>
      <c r="J39" s="67">
        <v>4974</v>
      </c>
      <c r="K39" s="67">
        <v>5376</v>
      </c>
      <c r="L39" s="67">
        <v>5741</v>
      </c>
      <c r="M39" s="67">
        <v>6065</v>
      </c>
      <c r="N39" s="67">
        <v>6346</v>
      </c>
      <c r="O39" s="72">
        <v>6582</v>
      </c>
      <c r="P39" s="67">
        <v>6772</v>
      </c>
      <c r="Q39" s="67">
        <v>6916</v>
      </c>
      <c r="R39" s="67">
        <v>7015</v>
      </c>
      <c r="S39" s="67">
        <v>7073</v>
      </c>
      <c r="T39" s="67">
        <v>7100</v>
      </c>
      <c r="U39" s="67">
        <v>7105</v>
      </c>
      <c r="V39" s="67">
        <v>7105</v>
      </c>
      <c r="X39" s="99" t="s">
        <v>601</v>
      </c>
      <c r="Y39" s="95" t="s">
        <v>599</v>
      </c>
      <c r="Z39" s="94" t="str">
        <f t="shared" si="0"/>
        <v>VPI45_40_7_LH</v>
      </c>
      <c r="AA39" t="str">
        <f>"{=INDEX(" &amp; Z40 &amp; ",MATCH(MIN(ABS(" &amp; Z39 &amp; "-C8)),ABS(" &amp; Z39 &amp; "-C8),0))}"</f>
        <v>{=INDEX(VPI45_40_7_DIAL,MATCH(MIN(ABS(VPI45_40_7_LH-C8)),ABS(VPI45_40_7_LH-C8),0))}</v>
      </c>
    </row>
    <row r="40" spans="1:27" hidden="1" outlineLevel="1" x14ac:dyDescent="0.2">
      <c r="A40" s="68" t="s">
        <v>575</v>
      </c>
      <c r="B40" s="61" t="s">
        <v>562</v>
      </c>
      <c r="C40" s="61">
        <v>0.2</v>
      </c>
      <c r="D40" s="61">
        <v>0.4</v>
      </c>
      <c r="E40" s="61">
        <v>0.6</v>
      </c>
      <c r="F40" s="61">
        <v>0.8</v>
      </c>
      <c r="G40" s="61">
        <v>1</v>
      </c>
      <c r="H40" s="61">
        <v>1.2</v>
      </c>
      <c r="I40" s="61">
        <v>1.4</v>
      </c>
      <c r="J40" s="61">
        <v>1.6</v>
      </c>
      <c r="K40" s="61">
        <v>1.8</v>
      </c>
      <c r="L40" s="61">
        <v>2</v>
      </c>
      <c r="M40" s="61">
        <v>2.2000000000000002</v>
      </c>
      <c r="N40" s="61">
        <v>2.4</v>
      </c>
      <c r="O40" s="73">
        <v>2.6</v>
      </c>
      <c r="P40" s="61">
        <v>2.8</v>
      </c>
      <c r="Q40" s="61">
        <v>3</v>
      </c>
      <c r="R40" s="61">
        <v>3.2</v>
      </c>
      <c r="S40" s="61">
        <v>3.4</v>
      </c>
      <c r="T40" s="61">
        <v>3.6</v>
      </c>
      <c r="U40" s="61">
        <v>3.8</v>
      </c>
      <c r="V40" s="61" t="s">
        <v>563</v>
      </c>
      <c r="X40" s="99" t="s">
        <v>602</v>
      </c>
      <c r="Y40" s="95" t="s">
        <v>599</v>
      </c>
      <c r="Z40" s="94" t="str">
        <f t="shared" si="0"/>
        <v>VPI45_40_7_DIAL</v>
      </c>
    </row>
    <row r="41" spans="1:27" hidden="1" outlineLevel="1" x14ac:dyDescent="0.2">
      <c r="A41" s="295" t="s">
        <v>576</v>
      </c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X41" s="98"/>
      <c r="Y41" s="78"/>
      <c r="Z41" s="94"/>
    </row>
    <row r="42" spans="1:27" hidden="1" outlineLevel="1" x14ac:dyDescent="0.2">
      <c r="A42" s="68" t="s">
        <v>560</v>
      </c>
      <c r="B42" s="57"/>
      <c r="C42" s="57"/>
      <c r="D42" s="63"/>
      <c r="E42" s="67">
        <v>2664</v>
      </c>
      <c r="F42" s="67">
        <v>3537</v>
      </c>
      <c r="G42" s="67">
        <v>4337</v>
      </c>
      <c r="H42" s="67">
        <v>5053</v>
      </c>
      <c r="I42" s="67">
        <v>5682</v>
      </c>
      <c r="J42" s="67">
        <v>6224</v>
      </c>
      <c r="K42" s="67">
        <v>6684</v>
      </c>
      <c r="L42" s="67">
        <v>7070</v>
      </c>
      <c r="M42" s="67">
        <v>7389</v>
      </c>
      <c r="N42" s="67">
        <v>7652</v>
      </c>
      <c r="O42" s="72">
        <v>7870</v>
      </c>
      <c r="P42" s="67">
        <v>8051</v>
      </c>
      <c r="Q42" s="67">
        <v>8204</v>
      </c>
      <c r="R42" s="67">
        <v>8333</v>
      </c>
      <c r="S42" s="67">
        <v>8441</v>
      </c>
      <c r="T42" s="67">
        <v>8525</v>
      </c>
      <c r="U42" s="67">
        <v>8578</v>
      </c>
      <c r="V42" s="67">
        <v>8586</v>
      </c>
      <c r="X42" s="99" t="s">
        <v>601</v>
      </c>
      <c r="Y42" s="95" t="s">
        <v>600</v>
      </c>
      <c r="Z42" s="94" t="str">
        <f t="shared" si="0"/>
        <v>VPI45_50_8.5_LH</v>
      </c>
      <c r="AA42" t="str">
        <f>"{=INDEX(" &amp; Z43 &amp; ",MATCH(MIN(ABS(" &amp; Z42 &amp; "-C8)),ABS(" &amp; Z42 &amp; "-C8),0))}"</f>
        <v>{=INDEX(VPI45_50_8.5_DIAL,MATCH(MIN(ABS(VPI45_50_8.5_LH-C8)),ABS(VPI45_50_8.5_LH-C8),0))}</v>
      </c>
    </row>
    <row r="43" spans="1:27" hidden="1" outlineLevel="1" x14ac:dyDescent="0.2">
      <c r="A43" s="76" t="s">
        <v>575</v>
      </c>
      <c r="B43" s="61" t="s">
        <v>562</v>
      </c>
      <c r="C43" s="61">
        <v>0.2</v>
      </c>
      <c r="D43" s="61">
        <v>0.4</v>
      </c>
      <c r="E43" s="61">
        <v>0.6</v>
      </c>
      <c r="F43" s="61">
        <v>0.8</v>
      </c>
      <c r="G43" s="61">
        <v>1</v>
      </c>
      <c r="H43" s="61">
        <v>1.2</v>
      </c>
      <c r="I43" s="61">
        <v>1.4</v>
      </c>
      <c r="J43" s="61">
        <v>1.6</v>
      </c>
      <c r="K43" s="61">
        <v>1.8</v>
      </c>
      <c r="L43" s="61">
        <v>2</v>
      </c>
      <c r="M43" s="61">
        <v>2.2000000000000002</v>
      </c>
      <c r="N43" s="61">
        <v>2.4</v>
      </c>
      <c r="O43" s="73">
        <v>2.6</v>
      </c>
      <c r="P43" s="61">
        <v>2.8</v>
      </c>
      <c r="Q43" s="61">
        <v>3</v>
      </c>
      <c r="R43" s="61">
        <v>3.2</v>
      </c>
      <c r="S43" s="61">
        <v>3.4</v>
      </c>
      <c r="T43" s="61">
        <v>3.6</v>
      </c>
      <c r="U43" s="61">
        <v>3.8</v>
      </c>
      <c r="V43" s="61" t="s">
        <v>563</v>
      </c>
      <c r="X43" s="99" t="s">
        <v>602</v>
      </c>
      <c r="Y43" s="95" t="s">
        <v>600</v>
      </c>
      <c r="Z43" s="94" t="str">
        <f t="shared" si="0"/>
        <v>VPI45_50_8.5_DIAL</v>
      </c>
    </row>
    <row r="44" spans="1:27" hidden="1" outlineLevel="1" x14ac:dyDescent="0.2">
      <c r="A44" s="78"/>
      <c r="X44" s="98"/>
      <c r="Y44" s="94"/>
      <c r="Z44" s="94"/>
    </row>
    <row r="45" spans="1:27" hidden="1" outlineLevel="1" x14ac:dyDescent="0.2">
      <c r="A45" s="78"/>
      <c r="X45" s="98"/>
      <c r="Y45" s="94"/>
      <c r="Z45" s="94"/>
    </row>
    <row r="46" spans="1:27" ht="38.25" hidden="1" outlineLevel="1" x14ac:dyDescent="0.2">
      <c r="A46" s="79" t="s">
        <v>613</v>
      </c>
      <c r="X46" s="98"/>
      <c r="Y46" s="94"/>
      <c r="Z46" s="94"/>
    </row>
    <row r="47" spans="1:27" hidden="1" outlineLevel="1" x14ac:dyDescent="0.2">
      <c r="A47" s="5"/>
      <c r="X47" s="98"/>
      <c r="Y47" s="94"/>
      <c r="Z47" s="94"/>
    </row>
    <row r="48" spans="1:27" hidden="1" outlineLevel="1" x14ac:dyDescent="0.2">
      <c r="A48" s="296" t="s">
        <v>621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296"/>
      <c r="R48" s="296"/>
      <c r="S48" s="296"/>
      <c r="T48" s="296"/>
      <c r="U48" s="296"/>
      <c r="V48" s="296"/>
      <c r="X48" s="98"/>
      <c r="Y48" s="94"/>
      <c r="Z48" s="94"/>
    </row>
    <row r="49" spans="1:26" hidden="1" outlineLevel="1" x14ac:dyDescent="0.2">
      <c r="A49" s="56" t="s">
        <v>560</v>
      </c>
      <c r="B49" s="84"/>
      <c r="C49" s="84"/>
      <c r="D49" s="84"/>
      <c r="E49" s="85">
        <v>2300</v>
      </c>
      <c r="F49" s="60">
        <v>3000</v>
      </c>
      <c r="G49" s="60">
        <v>3800</v>
      </c>
      <c r="H49" s="60">
        <v>4500</v>
      </c>
      <c r="I49" s="60">
        <v>5300</v>
      </c>
      <c r="J49" s="60">
        <v>6000</v>
      </c>
      <c r="K49" s="60">
        <v>6800</v>
      </c>
      <c r="L49" s="60">
        <v>7500</v>
      </c>
      <c r="M49" s="60">
        <v>8300</v>
      </c>
      <c r="N49" s="60">
        <v>9000</v>
      </c>
      <c r="O49" s="60">
        <v>9800</v>
      </c>
      <c r="P49" s="60">
        <v>10500</v>
      </c>
      <c r="Q49" s="60">
        <v>11300</v>
      </c>
      <c r="R49" s="60">
        <v>12000</v>
      </c>
      <c r="S49" s="60">
        <v>12800</v>
      </c>
      <c r="T49" s="60">
        <v>13500</v>
      </c>
      <c r="U49" s="60">
        <v>14300</v>
      </c>
      <c r="V49" s="86">
        <v>15000</v>
      </c>
      <c r="X49" s="99" t="s">
        <v>601</v>
      </c>
      <c r="Y49" s="100" t="s">
        <v>681</v>
      </c>
      <c r="Z49" s="94" t="str">
        <f t="shared" ref="Z49:Z50" si="1">Y49&amp;X49</f>
        <v>VPF43_50_16_LH</v>
      </c>
    </row>
    <row r="50" spans="1:26" hidden="1" outlineLevel="1" x14ac:dyDescent="0.2">
      <c r="A50" s="56" t="s">
        <v>561</v>
      </c>
      <c r="B50" s="61" t="s">
        <v>562</v>
      </c>
      <c r="C50" s="61">
        <v>0.2</v>
      </c>
      <c r="D50" s="61">
        <v>0.4</v>
      </c>
      <c r="E50" s="61">
        <v>0.6</v>
      </c>
      <c r="F50" s="61">
        <v>0.8</v>
      </c>
      <c r="G50" s="61">
        <v>1</v>
      </c>
      <c r="H50" s="61">
        <v>1.2</v>
      </c>
      <c r="I50" s="61">
        <v>1.4</v>
      </c>
      <c r="J50" s="61">
        <v>1.6</v>
      </c>
      <c r="K50" s="61">
        <v>1.8</v>
      </c>
      <c r="L50" s="61">
        <v>2</v>
      </c>
      <c r="M50" s="61">
        <v>2.2000000000000002</v>
      </c>
      <c r="N50" s="61">
        <v>2.4</v>
      </c>
      <c r="O50" s="61">
        <v>2.6</v>
      </c>
      <c r="P50" s="61">
        <v>2.8</v>
      </c>
      <c r="Q50" s="61">
        <v>3</v>
      </c>
      <c r="R50" s="61">
        <v>3.2</v>
      </c>
      <c r="S50" s="61">
        <v>3.4</v>
      </c>
      <c r="T50" s="61">
        <v>3.6</v>
      </c>
      <c r="U50" s="61">
        <v>3.8</v>
      </c>
      <c r="V50" s="87">
        <v>4</v>
      </c>
      <c r="X50" s="6" t="s">
        <v>602</v>
      </c>
      <c r="Y50" s="80" t="s">
        <v>681</v>
      </c>
      <c r="Z50" t="str">
        <f t="shared" si="1"/>
        <v>VPF43_50_16_DIAL</v>
      </c>
    </row>
    <row r="51" spans="1:26" hidden="1" outlineLevel="1" x14ac:dyDescent="0.2">
      <c r="A51" s="296" t="s">
        <v>622</v>
      </c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  <c r="U51" s="296"/>
      <c r="V51" s="296"/>
    </row>
    <row r="52" spans="1:26" hidden="1" outlineLevel="1" x14ac:dyDescent="0.2">
      <c r="A52" s="56" t="s">
        <v>560</v>
      </c>
      <c r="B52" s="57"/>
      <c r="C52" s="57"/>
      <c r="D52" s="57"/>
      <c r="E52" s="57">
        <v>4400</v>
      </c>
      <c r="F52" s="61">
        <v>5600</v>
      </c>
      <c r="G52" s="61">
        <v>6600</v>
      </c>
      <c r="H52" s="61">
        <v>7700</v>
      </c>
      <c r="I52" s="61">
        <v>8600</v>
      </c>
      <c r="J52" s="61">
        <v>9600</v>
      </c>
      <c r="K52" s="61">
        <v>10500</v>
      </c>
      <c r="L52" s="61">
        <v>11500</v>
      </c>
      <c r="M52" s="61">
        <v>12500</v>
      </c>
      <c r="N52" s="61">
        <v>13500</v>
      </c>
      <c r="O52" s="61">
        <v>14700</v>
      </c>
      <c r="P52" s="61">
        <v>15800</v>
      </c>
      <c r="Q52" s="61">
        <v>17100</v>
      </c>
      <c r="R52" s="61">
        <v>18500</v>
      </c>
      <c r="S52" s="61">
        <v>19900</v>
      </c>
      <c r="T52" s="61">
        <v>21500</v>
      </c>
      <c r="U52" s="61">
        <v>23200</v>
      </c>
      <c r="V52" s="88">
        <v>25000</v>
      </c>
      <c r="X52" s="6" t="s">
        <v>601</v>
      </c>
      <c r="Y52" s="80" t="s">
        <v>682</v>
      </c>
      <c r="Z52" t="str">
        <f t="shared" ref="Z52:Z53" si="2">Y52&amp;X52</f>
        <v>VPF43_65_24_LH</v>
      </c>
    </row>
    <row r="53" spans="1:26" hidden="1" outlineLevel="1" x14ac:dyDescent="0.2">
      <c r="A53" s="56" t="s">
        <v>561</v>
      </c>
      <c r="B53" s="61" t="s">
        <v>562</v>
      </c>
      <c r="C53" s="61">
        <v>0.2</v>
      </c>
      <c r="D53" s="61">
        <v>0.4</v>
      </c>
      <c r="E53" s="61">
        <v>0.6</v>
      </c>
      <c r="F53" s="61">
        <v>0.8</v>
      </c>
      <c r="G53" s="61">
        <v>1</v>
      </c>
      <c r="H53" s="61">
        <v>1.2</v>
      </c>
      <c r="I53" s="61">
        <v>1.4</v>
      </c>
      <c r="J53" s="61">
        <v>1.6</v>
      </c>
      <c r="K53" s="61">
        <v>1.8</v>
      </c>
      <c r="L53" s="61">
        <v>2</v>
      </c>
      <c r="M53" s="61">
        <v>2.2000000000000002</v>
      </c>
      <c r="N53" s="61">
        <v>2.4</v>
      </c>
      <c r="O53" s="61">
        <v>2.6</v>
      </c>
      <c r="P53" s="61">
        <v>2.8</v>
      </c>
      <c r="Q53" s="61">
        <v>3</v>
      </c>
      <c r="R53" s="61">
        <v>3.2</v>
      </c>
      <c r="S53" s="61">
        <v>3.4</v>
      </c>
      <c r="T53" s="61">
        <v>3.6</v>
      </c>
      <c r="U53" s="61">
        <v>3.8</v>
      </c>
      <c r="V53" s="87">
        <v>4</v>
      </c>
      <c r="X53" s="6" t="s">
        <v>602</v>
      </c>
      <c r="Y53" s="80" t="s">
        <v>682</v>
      </c>
      <c r="Z53" t="str">
        <f t="shared" si="2"/>
        <v>VPF43_65_24_DIAL</v>
      </c>
    </row>
    <row r="54" spans="1:26" hidden="1" outlineLevel="1" x14ac:dyDescent="0.2">
      <c r="A54" s="296" t="s">
        <v>623</v>
      </c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296"/>
      <c r="R54" s="296"/>
      <c r="S54" s="296"/>
      <c r="T54" s="296"/>
      <c r="U54" s="296"/>
      <c r="V54" s="296"/>
    </row>
    <row r="55" spans="1:26" hidden="1" outlineLevel="1" x14ac:dyDescent="0.2">
      <c r="A55" s="56" t="s">
        <v>560</v>
      </c>
      <c r="B55" s="57"/>
      <c r="C55" s="57"/>
      <c r="D55" s="57"/>
      <c r="E55" s="85">
        <v>5300</v>
      </c>
      <c r="F55" s="60">
        <v>6900</v>
      </c>
      <c r="G55" s="60">
        <v>8300</v>
      </c>
      <c r="H55" s="60">
        <v>9600</v>
      </c>
      <c r="I55" s="60">
        <v>10900</v>
      </c>
      <c r="J55" s="60">
        <v>12200</v>
      </c>
      <c r="K55" s="60">
        <v>13500</v>
      </c>
      <c r="L55" s="60">
        <v>14800</v>
      </c>
      <c r="M55" s="60">
        <v>16200</v>
      </c>
      <c r="N55" s="60">
        <v>17600</v>
      </c>
      <c r="O55" s="60">
        <v>19100</v>
      </c>
      <c r="P55" s="60">
        <v>20700</v>
      </c>
      <c r="Q55" s="60">
        <v>22400</v>
      </c>
      <c r="R55" s="60">
        <v>24300</v>
      </c>
      <c r="S55" s="60">
        <v>26400</v>
      </c>
      <c r="T55" s="60">
        <v>28700</v>
      </c>
      <c r="U55" s="60">
        <v>31200</v>
      </c>
      <c r="V55" s="86">
        <v>34000</v>
      </c>
      <c r="X55" s="6" t="s">
        <v>601</v>
      </c>
      <c r="Y55" s="80" t="s">
        <v>683</v>
      </c>
      <c r="Z55" t="str">
        <f t="shared" ref="Z55:Z56" si="3">Y55&amp;X55</f>
        <v>VPF43_80_35_LH</v>
      </c>
    </row>
    <row r="56" spans="1:26" hidden="1" outlineLevel="1" x14ac:dyDescent="0.2">
      <c r="A56" s="56" t="s">
        <v>561</v>
      </c>
      <c r="B56" s="61" t="s">
        <v>562</v>
      </c>
      <c r="C56" s="61">
        <v>0.2</v>
      </c>
      <c r="D56" s="61">
        <v>0.4</v>
      </c>
      <c r="E56" s="61">
        <v>0.6</v>
      </c>
      <c r="F56" s="61">
        <v>0.8</v>
      </c>
      <c r="G56" s="61">
        <v>1</v>
      </c>
      <c r="H56" s="61">
        <v>1.2</v>
      </c>
      <c r="I56" s="61">
        <v>1.4</v>
      </c>
      <c r="J56" s="61">
        <v>1.6</v>
      </c>
      <c r="K56" s="61">
        <v>1.8</v>
      </c>
      <c r="L56" s="61">
        <v>2</v>
      </c>
      <c r="M56" s="61">
        <v>2.2000000000000002</v>
      </c>
      <c r="N56" s="61">
        <v>2.4</v>
      </c>
      <c r="O56" s="61">
        <v>2.6</v>
      </c>
      <c r="P56" s="61">
        <v>2.8</v>
      </c>
      <c r="Q56" s="61">
        <v>3</v>
      </c>
      <c r="R56" s="61">
        <v>3.2</v>
      </c>
      <c r="S56" s="61">
        <v>3.4</v>
      </c>
      <c r="T56" s="61">
        <v>3.6</v>
      </c>
      <c r="U56" s="61">
        <v>3.8</v>
      </c>
      <c r="V56" s="87">
        <v>4</v>
      </c>
      <c r="X56" s="6" t="s">
        <v>602</v>
      </c>
      <c r="Y56" s="80" t="s">
        <v>683</v>
      </c>
      <c r="Z56" t="str">
        <f t="shared" si="3"/>
        <v>VPF43_80_35_DIAL</v>
      </c>
    </row>
    <row r="57" spans="1:26" hidden="1" outlineLevel="1" x14ac:dyDescent="0.2">
      <c r="A57" s="5"/>
    </row>
    <row r="58" spans="1:26" ht="38.25" hidden="1" outlineLevel="1" x14ac:dyDescent="0.2">
      <c r="A58" s="79" t="s">
        <v>617</v>
      </c>
    </row>
    <row r="59" spans="1:26" hidden="1" outlineLevel="1" x14ac:dyDescent="0.2">
      <c r="A59" s="5"/>
    </row>
    <row r="60" spans="1:26" hidden="1" outlineLevel="1" x14ac:dyDescent="0.2">
      <c r="A60" s="296" t="s">
        <v>624</v>
      </c>
      <c r="B60" s="296"/>
      <c r="C60" s="296"/>
      <c r="D60" s="296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</row>
    <row r="61" spans="1:26" hidden="1" outlineLevel="1" x14ac:dyDescent="0.2">
      <c r="A61" s="56" t="s">
        <v>560</v>
      </c>
      <c r="B61" s="57"/>
      <c r="C61" s="57"/>
      <c r="D61" s="57"/>
      <c r="E61" s="85">
        <v>4300</v>
      </c>
      <c r="F61" s="60">
        <v>5200</v>
      </c>
      <c r="G61" s="60">
        <v>6200</v>
      </c>
      <c r="H61" s="60">
        <v>7200</v>
      </c>
      <c r="I61" s="60">
        <v>8100</v>
      </c>
      <c r="J61" s="60">
        <v>9000</v>
      </c>
      <c r="K61" s="60">
        <v>10000</v>
      </c>
      <c r="L61" s="60">
        <v>11000</v>
      </c>
      <c r="M61" s="60">
        <v>12100</v>
      </c>
      <c r="N61" s="60">
        <v>13200</v>
      </c>
      <c r="O61" s="60">
        <v>14300</v>
      </c>
      <c r="P61" s="60">
        <v>15400</v>
      </c>
      <c r="Q61" s="60">
        <v>16500</v>
      </c>
      <c r="R61" s="60">
        <v>18200</v>
      </c>
      <c r="S61" s="60">
        <v>19900</v>
      </c>
      <c r="T61" s="60">
        <v>21600</v>
      </c>
      <c r="U61" s="60">
        <v>23300</v>
      </c>
      <c r="V61" s="86">
        <v>25000</v>
      </c>
      <c r="X61" s="6" t="s">
        <v>601</v>
      </c>
      <c r="Y61" s="80" t="s">
        <v>684</v>
      </c>
      <c r="Z61" t="str">
        <f t="shared" ref="Z61:Z62" si="4">Y61&amp;X61</f>
        <v>VPF43_50_25_LH</v>
      </c>
    </row>
    <row r="62" spans="1:26" hidden="1" outlineLevel="1" x14ac:dyDescent="0.2">
      <c r="A62" s="56" t="s">
        <v>561</v>
      </c>
      <c r="B62" s="61" t="s">
        <v>562</v>
      </c>
      <c r="C62" s="61">
        <v>0.2</v>
      </c>
      <c r="D62" s="61">
        <v>0.4</v>
      </c>
      <c r="E62" s="61">
        <v>0.6</v>
      </c>
      <c r="F62" s="61">
        <v>0.8</v>
      </c>
      <c r="G62" s="61">
        <v>1</v>
      </c>
      <c r="H62" s="61">
        <v>1.2</v>
      </c>
      <c r="I62" s="61">
        <v>1.4</v>
      </c>
      <c r="J62" s="61">
        <v>1.6</v>
      </c>
      <c r="K62" s="61">
        <v>1.8</v>
      </c>
      <c r="L62" s="61">
        <v>2</v>
      </c>
      <c r="M62" s="61">
        <v>2.2000000000000002</v>
      </c>
      <c r="N62" s="61">
        <v>2.4</v>
      </c>
      <c r="O62" s="61">
        <v>2.6</v>
      </c>
      <c r="P62" s="61">
        <v>2.8</v>
      </c>
      <c r="Q62" s="61">
        <v>3</v>
      </c>
      <c r="R62" s="61">
        <v>3.2</v>
      </c>
      <c r="S62" s="61">
        <v>3.4</v>
      </c>
      <c r="T62" s="61">
        <v>3.6</v>
      </c>
      <c r="U62" s="61">
        <v>3.8</v>
      </c>
      <c r="V62" s="87">
        <v>4</v>
      </c>
      <c r="X62" s="6" t="s">
        <v>602</v>
      </c>
      <c r="Y62" s="80" t="s">
        <v>684</v>
      </c>
      <c r="Z62" t="str">
        <f t="shared" si="4"/>
        <v>VPF43_50_25_DIAL</v>
      </c>
    </row>
    <row r="63" spans="1:26" hidden="1" outlineLevel="1" x14ac:dyDescent="0.2">
      <c r="A63" s="296" t="s">
        <v>625</v>
      </c>
      <c r="B63" s="296"/>
      <c r="C63" s="296"/>
      <c r="D63" s="296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296"/>
      <c r="P63" s="296"/>
      <c r="Q63" s="296"/>
      <c r="R63" s="296"/>
      <c r="S63" s="296"/>
      <c r="T63" s="296"/>
      <c r="U63" s="296"/>
      <c r="V63" s="296"/>
    </row>
    <row r="64" spans="1:26" hidden="1" outlineLevel="1" x14ac:dyDescent="0.2">
      <c r="A64" s="56" t="s">
        <v>560</v>
      </c>
      <c r="B64" s="57"/>
      <c r="C64" s="57"/>
      <c r="D64" s="57"/>
      <c r="E64" s="89">
        <v>6000</v>
      </c>
      <c r="F64" s="90">
        <v>7600</v>
      </c>
      <c r="G64" s="90">
        <v>9100</v>
      </c>
      <c r="H64" s="90">
        <v>10500</v>
      </c>
      <c r="I64" s="90">
        <v>11900</v>
      </c>
      <c r="J64" s="90">
        <v>13300</v>
      </c>
      <c r="K64" s="90">
        <v>14700</v>
      </c>
      <c r="L64" s="90">
        <v>16000</v>
      </c>
      <c r="M64" s="90">
        <v>17500</v>
      </c>
      <c r="N64" s="90">
        <v>19000</v>
      </c>
      <c r="O64" s="90">
        <v>20600</v>
      </c>
      <c r="P64" s="90">
        <v>22300</v>
      </c>
      <c r="Q64" s="90">
        <v>24100</v>
      </c>
      <c r="R64" s="90">
        <v>26000</v>
      </c>
      <c r="S64" s="90">
        <v>28000</v>
      </c>
      <c r="T64" s="90">
        <v>30200</v>
      </c>
      <c r="U64" s="90">
        <v>32500</v>
      </c>
      <c r="V64" s="91">
        <v>35000</v>
      </c>
      <c r="X64" s="6" t="s">
        <v>601</v>
      </c>
      <c r="Y64" s="80" t="s">
        <v>685</v>
      </c>
      <c r="Z64" t="str">
        <f t="shared" ref="Z64:Z65" si="5">Y64&amp;X64</f>
        <v>VPF43_65_35_LH</v>
      </c>
    </row>
    <row r="65" spans="1:26" hidden="1" outlineLevel="1" x14ac:dyDescent="0.2">
      <c r="A65" s="56" t="s">
        <v>561</v>
      </c>
      <c r="B65" s="61" t="s">
        <v>562</v>
      </c>
      <c r="C65" s="61">
        <v>0.2</v>
      </c>
      <c r="D65" s="61">
        <v>0.4</v>
      </c>
      <c r="E65" s="61">
        <v>0.6</v>
      </c>
      <c r="F65" s="61">
        <v>0.8</v>
      </c>
      <c r="G65" s="61">
        <v>1</v>
      </c>
      <c r="H65" s="61">
        <v>1.2</v>
      </c>
      <c r="I65" s="61">
        <v>1.4</v>
      </c>
      <c r="J65" s="61">
        <v>1.6</v>
      </c>
      <c r="K65" s="61">
        <v>1.8</v>
      </c>
      <c r="L65" s="61">
        <v>2</v>
      </c>
      <c r="M65" s="61">
        <v>2.2000000000000002</v>
      </c>
      <c r="N65" s="61">
        <v>2.4</v>
      </c>
      <c r="O65" s="61">
        <v>2.6</v>
      </c>
      <c r="P65" s="61">
        <v>2.8</v>
      </c>
      <c r="Q65" s="61">
        <v>3</v>
      </c>
      <c r="R65" s="61">
        <v>3.2</v>
      </c>
      <c r="S65" s="61">
        <v>3.4</v>
      </c>
      <c r="T65" s="61">
        <v>3.6</v>
      </c>
      <c r="U65" s="61">
        <v>3.8</v>
      </c>
      <c r="V65" s="87">
        <v>4</v>
      </c>
      <c r="X65" s="6" t="s">
        <v>602</v>
      </c>
      <c r="Y65" s="80" t="s">
        <v>685</v>
      </c>
      <c r="Z65" t="str">
        <f t="shared" si="5"/>
        <v>VPF43_65_35_DIAL</v>
      </c>
    </row>
    <row r="66" spans="1:26" hidden="1" outlineLevel="1" x14ac:dyDescent="0.2">
      <c r="A66" s="296" t="s">
        <v>626</v>
      </c>
      <c r="B66" s="296"/>
      <c r="C66" s="296"/>
      <c r="D66" s="296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296"/>
      <c r="P66" s="296"/>
      <c r="Q66" s="296"/>
      <c r="R66" s="296"/>
      <c r="S66" s="296"/>
      <c r="T66" s="296"/>
      <c r="U66" s="296"/>
      <c r="V66" s="296"/>
    </row>
    <row r="67" spans="1:26" hidden="1" outlineLevel="1" x14ac:dyDescent="0.2">
      <c r="A67" s="56" t="s">
        <v>560</v>
      </c>
      <c r="B67" s="57"/>
      <c r="C67" s="57"/>
      <c r="D67" s="57"/>
      <c r="E67" s="85">
        <v>7000</v>
      </c>
      <c r="F67" s="60">
        <v>9000</v>
      </c>
      <c r="G67" s="60">
        <v>11000</v>
      </c>
      <c r="H67" s="60">
        <v>12800</v>
      </c>
      <c r="I67" s="60">
        <v>14500</v>
      </c>
      <c r="J67" s="60">
        <v>16200</v>
      </c>
      <c r="K67" s="60">
        <v>18000</v>
      </c>
      <c r="L67" s="60">
        <v>19600</v>
      </c>
      <c r="M67" s="60">
        <v>21400</v>
      </c>
      <c r="N67" s="60">
        <v>23200</v>
      </c>
      <c r="O67" s="60">
        <v>25100</v>
      </c>
      <c r="P67" s="60">
        <v>27100</v>
      </c>
      <c r="Q67" s="60">
        <v>29300</v>
      </c>
      <c r="R67" s="60">
        <v>31600</v>
      </c>
      <c r="S67" s="60">
        <v>34100</v>
      </c>
      <c r="T67" s="60">
        <v>36800</v>
      </c>
      <c r="U67" s="60">
        <v>39800</v>
      </c>
      <c r="V67" s="86">
        <v>43000</v>
      </c>
      <c r="X67" s="6" t="s">
        <v>601</v>
      </c>
      <c r="Y67" s="80" t="s">
        <v>686</v>
      </c>
      <c r="Z67" t="str">
        <f t="shared" ref="Z67:Z68" si="6">Y67&amp;X67</f>
        <v>VPF43_80_45_LH</v>
      </c>
    </row>
    <row r="68" spans="1:26" hidden="1" outlineLevel="1" x14ac:dyDescent="0.2">
      <c r="A68" s="56" t="s">
        <v>561</v>
      </c>
      <c r="B68" s="61" t="s">
        <v>562</v>
      </c>
      <c r="C68" s="61">
        <v>0.2</v>
      </c>
      <c r="D68" s="61">
        <v>0.4</v>
      </c>
      <c r="E68" s="61">
        <v>0.6</v>
      </c>
      <c r="F68" s="61">
        <v>0.8</v>
      </c>
      <c r="G68" s="61">
        <v>1</v>
      </c>
      <c r="H68" s="61">
        <v>1.2</v>
      </c>
      <c r="I68" s="61">
        <v>1.4</v>
      </c>
      <c r="J68" s="61">
        <v>1.6</v>
      </c>
      <c r="K68" s="61">
        <v>1.8</v>
      </c>
      <c r="L68" s="61">
        <v>2</v>
      </c>
      <c r="M68" s="61">
        <v>2.2000000000000002</v>
      </c>
      <c r="N68" s="61">
        <v>2.4</v>
      </c>
      <c r="O68" s="61">
        <v>2.6</v>
      </c>
      <c r="P68" s="61">
        <v>2.8</v>
      </c>
      <c r="Q68" s="61">
        <v>3</v>
      </c>
      <c r="R68" s="61">
        <v>3.2</v>
      </c>
      <c r="S68" s="61">
        <v>3.4</v>
      </c>
      <c r="T68" s="61">
        <v>3.6</v>
      </c>
      <c r="U68" s="61">
        <v>3.8</v>
      </c>
      <c r="V68" s="87">
        <v>4</v>
      </c>
      <c r="X68" s="6" t="s">
        <v>602</v>
      </c>
      <c r="Y68" s="80" t="s">
        <v>686</v>
      </c>
      <c r="Z68" t="str">
        <f t="shared" si="6"/>
        <v>VPF43_80_45_DIAL</v>
      </c>
    </row>
    <row r="69" spans="1:26" hidden="1" outlineLevel="1" x14ac:dyDescent="0.2">
      <c r="A69" s="78"/>
    </row>
    <row r="70" spans="1:26" hidden="1" outlineLevel="1" x14ac:dyDescent="0.2">
      <c r="A70" s="78"/>
    </row>
    <row r="71" spans="1:26" ht="38.25" hidden="1" outlineLevel="1" x14ac:dyDescent="0.2">
      <c r="A71" s="79" t="s">
        <v>613</v>
      </c>
    </row>
    <row r="72" spans="1:26" hidden="1" outlineLevel="1" x14ac:dyDescent="0.2">
      <c r="A72" s="5"/>
    </row>
    <row r="73" spans="1:26" hidden="1" outlineLevel="1" x14ac:dyDescent="0.2">
      <c r="A73" s="296" t="s">
        <v>614</v>
      </c>
      <c r="B73" s="296"/>
      <c r="C73" s="296"/>
      <c r="D73" s="296"/>
      <c r="E73" s="296"/>
      <c r="F73" s="296"/>
      <c r="G73" s="296"/>
      <c r="H73" s="296"/>
      <c r="I73" s="296"/>
      <c r="J73" s="296"/>
      <c r="K73" s="296"/>
      <c r="L73" s="296"/>
      <c r="M73" s="296"/>
      <c r="N73" s="296"/>
      <c r="O73" s="296"/>
      <c r="P73" s="296"/>
      <c r="Q73" s="296"/>
      <c r="R73" s="296"/>
      <c r="S73" s="296"/>
      <c r="T73" s="296"/>
      <c r="U73" s="296"/>
      <c r="V73" s="296"/>
    </row>
    <row r="74" spans="1:26" hidden="1" outlineLevel="1" x14ac:dyDescent="0.2">
      <c r="A74" s="56" t="s">
        <v>560</v>
      </c>
      <c r="B74" s="84"/>
      <c r="C74" s="84"/>
      <c r="D74" s="84"/>
      <c r="E74" s="85">
        <v>2300</v>
      </c>
      <c r="F74" s="60">
        <v>3000</v>
      </c>
      <c r="G74" s="60">
        <v>3800</v>
      </c>
      <c r="H74" s="60">
        <v>4500</v>
      </c>
      <c r="I74" s="60">
        <v>5300</v>
      </c>
      <c r="J74" s="60">
        <v>6000</v>
      </c>
      <c r="K74" s="60">
        <v>6800</v>
      </c>
      <c r="L74" s="60">
        <v>7500</v>
      </c>
      <c r="M74" s="60">
        <v>8300</v>
      </c>
      <c r="N74" s="60">
        <v>9000</v>
      </c>
      <c r="O74" s="60">
        <v>9800</v>
      </c>
      <c r="P74" s="60">
        <v>10500</v>
      </c>
      <c r="Q74" s="60">
        <v>11300</v>
      </c>
      <c r="R74" s="60">
        <v>12000</v>
      </c>
      <c r="S74" s="60">
        <v>12800</v>
      </c>
      <c r="T74" s="60">
        <v>13500</v>
      </c>
      <c r="U74" s="60">
        <v>14300</v>
      </c>
      <c r="V74" s="86">
        <v>15000</v>
      </c>
      <c r="X74" s="6" t="s">
        <v>601</v>
      </c>
      <c r="Y74" s="80" t="s">
        <v>687</v>
      </c>
      <c r="Z74" t="str">
        <f t="shared" ref="Z74:Z75" si="7">Y74&amp;X74</f>
        <v>VPF53_50_16_LH</v>
      </c>
    </row>
    <row r="75" spans="1:26" hidden="1" outlineLevel="1" x14ac:dyDescent="0.2">
      <c r="A75" s="56" t="s">
        <v>561</v>
      </c>
      <c r="B75" s="61" t="s">
        <v>562</v>
      </c>
      <c r="C75" s="61">
        <v>0.2</v>
      </c>
      <c r="D75" s="61">
        <v>0.4</v>
      </c>
      <c r="E75" s="61">
        <v>0.6</v>
      </c>
      <c r="F75" s="61">
        <v>0.8</v>
      </c>
      <c r="G75" s="61">
        <v>1</v>
      </c>
      <c r="H75" s="61">
        <v>1.2</v>
      </c>
      <c r="I75" s="61">
        <v>1.4</v>
      </c>
      <c r="J75" s="61">
        <v>1.6</v>
      </c>
      <c r="K75" s="61">
        <v>1.8</v>
      </c>
      <c r="L75" s="61">
        <v>2</v>
      </c>
      <c r="M75" s="61">
        <v>2.2000000000000002</v>
      </c>
      <c r="N75" s="61">
        <v>2.4</v>
      </c>
      <c r="O75" s="61">
        <v>2.6</v>
      </c>
      <c r="P75" s="61">
        <v>2.8</v>
      </c>
      <c r="Q75" s="61">
        <v>3</v>
      </c>
      <c r="R75" s="61">
        <v>3.2</v>
      </c>
      <c r="S75" s="61">
        <v>3.4</v>
      </c>
      <c r="T75" s="61">
        <v>3.6</v>
      </c>
      <c r="U75" s="61">
        <v>3.8</v>
      </c>
      <c r="V75" s="87">
        <v>4</v>
      </c>
      <c r="X75" s="6" t="s">
        <v>602</v>
      </c>
      <c r="Y75" s="80" t="s">
        <v>687</v>
      </c>
      <c r="Z75" t="str">
        <f t="shared" si="7"/>
        <v>VPF53_50_16_DIAL</v>
      </c>
    </row>
    <row r="76" spans="1:26" hidden="1" outlineLevel="1" x14ac:dyDescent="0.2">
      <c r="A76" s="296" t="s">
        <v>615</v>
      </c>
      <c r="B76" s="296"/>
      <c r="C76" s="296"/>
      <c r="D76" s="296"/>
      <c r="E76" s="296"/>
      <c r="F76" s="296"/>
      <c r="G76" s="296"/>
      <c r="H76" s="296"/>
      <c r="I76" s="296"/>
      <c r="J76" s="296"/>
      <c r="K76" s="296"/>
      <c r="L76" s="296"/>
      <c r="M76" s="296"/>
      <c r="N76" s="296"/>
      <c r="O76" s="296"/>
      <c r="P76" s="296"/>
      <c r="Q76" s="296"/>
      <c r="R76" s="296"/>
      <c r="S76" s="296"/>
      <c r="T76" s="296"/>
      <c r="U76" s="296"/>
      <c r="V76" s="296"/>
    </row>
    <row r="77" spans="1:26" hidden="1" outlineLevel="1" x14ac:dyDescent="0.2">
      <c r="A77" s="56" t="s">
        <v>560</v>
      </c>
      <c r="B77" s="57"/>
      <c r="C77" s="57"/>
      <c r="D77" s="57"/>
      <c r="E77" s="57">
        <v>4400</v>
      </c>
      <c r="F77" s="61">
        <v>5600</v>
      </c>
      <c r="G77" s="61">
        <v>6600</v>
      </c>
      <c r="H77" s="61">
        <v>7700</v>
      </c>
      <c r="I77" s="61">
        <v>8600</v>
      </c>
      <c r="J77" s="61">
        <v>9600</v>
      </c>
      <c r="K77" s="61">
        <v>10500</v>
      </c>
      <c r="L77" s="61">
        <v>11500</v>
      </c>
      <c r="M77" s="61">
        <v>12500</v>
      </c>
      <c r="N77" s="61">
        <v>13500</v>
      </c>
      <c r="O77" s="61">
        <v>14700</v>
      </c>
      <c r="P77" s="61">
        <v>15800</v>
      </c>
      <c r="Q77" s="61">
        <v>17100</v>
      </c>
      <c r="R77" s="61">
        <v>18500</v>
      </c>
      <c r="S77" s="61">
        <v>19900</v>
      </c>
      <c r="T77" s="61">
        <v>21500</v>
      </c>
      <c r="U77" s="61">
        <v>23200</v>
      </c>
      <c r="V77" s="88">
        <v>25000</v>
      </c>
      <c r="X77" s="6" t="s">
        <v>601</v>
      </c>
      <c r="Y77" s="80" t="s">
        <v>688</v>
      </c>
      <c r="Z77" t="str">
        <f t="shared" ref="Z77:Z78" si="8">Y77&amp;X77</f>
        <v>VPF53_65_24_LH</v>
      </c>
    </row>
    <row r="78" spans="1:26" hidden="1" outlineLevel="1" x14ac:dyDescent="0.2">
      <c r="A78" s="56" t="s">
        <v>561</v>
      </c>
      <c r="B78" s="61" t="s">
        <v>562</v>
      </c>
      <c r="C78" s="61">
        <v>0.2</v>
      </c>
      <c r="D78" s="61">
        <v>0.4</v>
      </c>
      <c r="E78" s="61">
        <v>0.6</v>
      </c>
      <c r="F78" s="61">
        <v>0.8</v>
      </c>
      <c r="G78" s="61">
        <v>1</v>
      </c>
      <c r="H78" s="61">
        <v>1.2</v>
      </c>
      <c r="I78" s="61">
        <v>1.4</v>
      </c>
      <c r="J78" s="61">
        <v>1.6</v>
      </c>
      <c r="K78" s="61">
        <v>1.8</v>
      </c>
      <c r="L78" s="61">
        <v>2</v>
      </c>
      <c r="M78" s="61">
        <v>2.2000000000000002</v>
      </c>
      <c r="N78" s="61">
        <v>2.4</v>
      </c>
      <c r="O78" s="61">
        <v>2.6</v>
      </c>
      <c r="P78" s="61">
        <v>2.8</v>
      </c>
      <c r="Q78" s="61">
        <v>3</v>
      </c>
      <c r="R78" s="61">
        <v>3.2</v>
      </c>
      <c r="S78" s="61">
        <v>3.4</v>
      </c>
      <c r="T78" s="61">
        <v>3.6</v>
      </c>
      <c r="U78" s="61">
        <v>3.8</v>
      </c>
      <c r="V78" s="87">
        <v>4</v>
      </c>
      <c r="X78" s="6" t="s">
        <v>602</v>
      </c>
      <c r="Y78" s="80" t="s">
        <v>688</v>
      </c>
      <c r="Z78" t="str">
        <f t="shared" si="8"/>
        <v>VPF53_65_24_DIAL</v>
      </c>
    </row>
    <row r="79" spans="1:26" hidden="1" outlineLevel="1" x14ac:dyDescent="0.2">
      <c r="A79" s="297" t="s">
        <v>616</v>
      </c>
      <c r="B79" s="297"/>
      <c r="C79" s="297"/>
      <c r="D79" s="297"/>
      <c r="E79" s="297"/>
      <c r="F79" s="297"/>
      <c r="G79" s="297"/>
      <c r="H79" s="297"/>
      <c r="I79" s="297"/>
      <c r="J79" s="297"/>
      <c r="K79" s="297"/>
      <c r="L79" s="297"/>
      <c r="M79" s="297"/>
      <c r="N79" s="297"/>
      <c r="O79" s="297"/>
      <c r="P79" s="297"/>
      <c r="Q79" s="297"/>
      <c r="R79" s="297"/>
      <c r="S79" s="297"/>
      <c r="T79" s="297"/>
      <c r="U79" s="297"/>
      <c r="V79" s="297"/>
    </row>
    <row r="80" spans="1:26" hidden="1" outlineLevel="1" x14ac:dyDescent="0.2">
      <c r="A80" s="56" t="s">
        <v>560</v>
      </c>
      <c r="B80" s="57"/>
      <c r="C80" s="57"/>
      <c r="D80" s="57"/>
      <c r="E80" s="85">
        <v>5300</v>
      </c>
      <c r="F80" s="60">
        <v>6900</v>
      </c>
      <c r="G80" s="60">
        <v>8300</v>
      </c>
      <c r="H80" s="60">
        <v>9600</v>
      </c>
      <c r="I80" s="60">
        <v>10900</v>
      </c>
      <c r="J80" s="60">
        <v>12200</v>
      </c>
      <c r="K80" s="60">
        <v>13500</v>
      </c>
      <c r="L80" s="60">
        <v>14800</v>
      </c>
      <c r="M80" s="60">
        <v>16200</v>
      </c>
      <c r="N80" s="60">
        <v>17600</v>
      </c>
      <c r="O80" s="60">
        <v>19100</v>
      </c>
      <c r="P80" s="60">
        <v>20700</v>
      </c>
      <c r="Q80" s="60">
        <v>22400</v>
      </c>
      <c r="R80" s="60">
        <v>24300</v>
      </c>
      <c r="S80" s="60">
        <v>26400</v>
      </c>
      <c r="T80" s="60">
        <v>28700</v>
      </c>
      <c r="U80" s="60">
        <v>31200</v>
      </c>
      <c r="V80" s="86">
        <v>34000</v>
      </c>
      <c r="X80" s="6" t="s">
        <v>601</v>
      </c>
      <c r="Y80" s="80" t="s">
        <v>689</v>
      </c>
      <c r="Z80" t="str">
        <f t="shared" ref="Z80:Z81" si="9">Y80&amp;X80</f>
        <v>VPF53_80_35_LH</v>
      </c>
    </row>
    <row r="81" spans="1:26" hidden="1" outlineLevel="1" x14ac:dyDescent="0.2">
      <c r="A81" s="56" t="s">
        <v>561</v>
      </c>
      <c r="B81" s="61" t="s">
        <v>562</v>
      </c>
      <c r="C81" s="61">
        <v>0.2</v>
      </c>
      <c r="D81" s="61">
        <v>0.4</v>
      </c>
      <c r="E81" s="61">
        <v>0.6</v>
      </c>
      <c r="F81" s="61">
        <v>0.8</v>
      </c>
      <c r="G81" s="61">
        <v>1</v>
      </c>
      <c r="H81" s="61">
        <v>1.2</v>
      </c>
      <c r="I81" s="61">
        <v>1.4</v>
      </c>
      <c r="J81" s="61">
        <v>1.6</v>
      </c>
      <c r="K81" s="61">
        <v>1.8</v>
      </c>
      <c r="L81" s="61">
        <v>2</v>
      </c>
      <c r="M81" s="61">
        <v>2.2000000000000002</v>
      </c>
      <c r="N81" s="61">
        <v>2.4</v>
      </c>
      <c r="O81" s="61">
        <v>2.6</v>
      </c>
      <c r="P81" s="61">
        <v>2.8</v>
      </c>
      <c r="Q81" s="61">
        <v>3</v>
      </c>
      <c r="R81" s="61">
        <v>3.2</v>
      </c>
      <c r="S81" s="61">
        <v>3.4</v>
      </c>
      <c r="T81" s="61">
        <v>3.6</v>
      </c>
      <c r="U81" s="61">
        <v>3.8</v>
      </c>
      <c r="V81" s="87">
        <v>4</v>
      </c>
      <c r="X81" s="6" t="s">
        <v>602</v>
      </c>
      <c r="Y81" s="80" t="s">
        <v>689</v>
      </c>
      <c r="Z81" t="str">
        <f t="shared" si="9"/>
        <v>VPF53_80_35_DIAL</v>
      </c>
    </row>
    <row r="82" spans="1:26" hidden="1" outlineLevel="1" x14ac:dyDescent="0.2">
      <c r="A82" s="5"/>
    </row>
    <row r="83" spans="1:26" ht="38.25" hidden="1" outlineLevel="1" x14ac:dyDescent="0.2">
      <c r="A83" s="79" t="s">
        <v>617</v>
      </c>
    </row>
    <row r="84" spans="1:26" hidden="1" outlineLevel="1" x14ac:dyDescent="0.2">
      <c r="A84" s="5"/>
    </row>
    <row r="85" spans="1:26" hidden="1" outlineLevel="1" x14ac:dyDescent="0.2">
      <c r="A85" s="296" t="s">
        <v>618</v>
      </c>
      <c r="B85" s="296"/>
      <c r="C85" s="296"/>
      <c r="D85" s="296"/>
      <c r="E85" s="296"/>
      <c r="F85" s="296"/>
      <c r="G85" s="296"/>
      <c r="H85" s="296"/>
      <c r="I85" s="296"/>
      <c r="J85" s="296"/>
      <c r="K85" s="296"/>
      <c r="L85" s="296"/>
      <c r="M85" s="296"/>
      <c r="N85" s="296"/>
      <c r="O85" s="296"/>
      <c r="P85" s="296"/>
      <c r="Q85" s="296"/>
      <c r="R85" s="296"/>
      <c r="S85" s="296"/>
      <c r="T85" s="296"/>
      <c r="U85" s="296"/>
      <c r="V85" s="296"/>
    </row>
    <row r="86" spans="1:26" hidden="1" outlineLevel="1" x14ac:dyDescent="0.2">
      <c r="A86" s="56" t="s">
        <v>560</v>
      </c>
      <c r="B86" s="57"/>
      <c r="C86" s="57"/>
      <c r="D86" s="57"/>
      <c r="E86" s="85">
        <v>4300</v>
      </c>
      <c r="F86" s="60">
        <v>5200</v>
      </c>
      <c r="G86" s="60">
        <v>6200</v>
      </c>
      <c r="H86" s="60">
        <v>7200</v>
      </c>
      <c r="I86" s="60">
        <v>8100</v>
      </c>
      <c r="J86" s="60">
        <v>9000</v>
      </c>
      <c r="K86" s="60">
        <v>10000</v>
      </c>
      <c r="L86" s="60">
        <v>11000</v>
      </c>
      <c r="M86" s="60">
        <v>12100</v>
      </c>
      <c r="N86" s="60">
        <v>13200</v>
      </c>
      <c r="O86" s="60">
        <v>14300</v>
      </c>
      <c r="P86" s="60">
        <v>15400</v>
      </c>
      <c r="Q86" s="60">
        <v>16500</v>
      </c>
      <c r="R86" s="60">
        <v>18200</v>
      </c>
      <c r="S86" s="60">
        <v>19900</v>
      </c>
      <c r="T86" s="60">
        <v>21600</v>
      </c>
      <c r="U86" s="60">
        <v>23300</v>
      </c>
      <c r="V86" s="86">
        <v>25000</v>
      </c>
      <c r="X86" s="6" t="s">
        <v>601</v>
      </c>
      <c r="Y86" s="80" t="s">
        <v>690</v>
      </c>
      <c r="Z86" t="str">
        <f t="shared" ref="Z86:Z87" si="10">Y86&amp;X86</f>
        <v>VPF53_50_25_LH</v>
      </c>
    </row>
    <row r="87" spans="1:26" hidden="1" outlineLevel="1" x14ac:dyDescent="0.2">
      <c r="A87" s="56" t="s">
        <v>561</v>
      </c>
      <c r="B87" s="61" t="s">
        <v>562</v>
      </c>
      <c r="C87" s="61">
        <v>0.2</v>
      </c>
      <c r="D87" s="61">
        <v>0.4</v>
      </c>
      <c r="E87" s="61">
        <v>0.6</v>
      </c>
      <c r="F87" s="61">
        <v>0.8</v>
      </c>
      <c r="G87" s="61">
        <v>1</v>
      </c>
      <c r="H87" s="61">
        <v>1.2</v>
      </c>
      <c r="I87" s="61">
        <v>1.4</v>
      </c>
      <c r="J87" s="61">
        <v>1.6</v>
      </c>
      <c r="K87" s="61">
        <v>1.8</v>
      </c>
      <c r="L87" s="61">
        <v>2</v>
      </c>
      <c r="M87" s="61">
        <v>2.2000000000000002</v>
      </c>
      <c r="N87" s="61">
        <v>2.4</v>
      </c>
      <c r="O87" s="61">
        <v>2.6</v>
      </c>
      <c r="P87" s="61">
        <v>2.8</v>
      </c>
      <c r="Q87" s="61">
        <v>3</v>
      </c>
      <c r="R87" s="61">
        <v>3.2</v>
      </c>
      <c r="S87" s="61">
        <v>3.4</v>
      </c>
      <c r="T87" s="61">
        <v>3.6</v>
      </c>
      <c r="U87" s="61">
        <v>3.8</v>
      </c>
      <c r="V87" s="87">
        <v>4</v>
      </c>
      <c r="X87" s="6" t="s">
        <v>602</v>
      </c>
      <c r="Y87" s="80" t="s">
        <v>690</v>
      </c>
      <c r="Z87" t="str">
        <f t="shared" si="10"/>
        <v>VPF53_50_25_DIAL</v>
      </c>
    </row>
    <row r="88" spans="1:26" hidden="1" outlineLevel="1" x14ac:dyDescent="0.2">
      <c r="A88" s="296" t="s">
        <v>619</v>
      </c>
      <c r="B88" s="296"/>
      <c r="C88" s="296"/>
      <c r="D88" s="296"/>
      <c r="E88" s="296"/>
      <c r="F88" s="296"/>
      <c r="G88" s="296"/>
      <c r="H88" s="296"/>
      <c r="I88" s="296"/>
      <c r="J88" s="296"/>
      <c r="K88" s="296"/>
      <c r="L88" s="296"/>
      <c r="M88" s="296"/>
      <c r="N88" s="296"/>
      <c r="O88" s="296"/>
      <c r="P88" s="296"/>
      <c r="Q88" s="296"/>
      <c r="R88" s="296"/>
      <c r="S88" s="296"/>
      <c r="T88" s="296"/>
      <c r="U88" s="296"/>
      <c r="V88" s="296"/>
    </row>
    <row r="89" spans="1:26" hidden="1" outlineLevel="1" x14ac:dyDescent="0.2">
      <c r="A89" s="56" t="s">
        <v>560</v>
      </c>
      <c r="B89" s="57"/>
      <c r="C89" s="57"/>
      <c r="D89" s="57"/>
      <c r="E89" s="89">
        <v>6000</v>
      </c>
      <c r="F89" s="90">
        <v>7600</v>
      </c>
      <c r="G89" s="90">
        <v>9100</v>
      </c>
      <c r="H89" s="90">
        <v>10500</v>
      </c>
      <c r="I89" s="90">
        <v>11900</v>
      </c>
      <c r="J89" s="90">
        <v>13300</v>
      </c>
      <c r="K89" s="90">
        <v>14700</v>
      </c>
      <c r="L89" s="90">
        <v>16000</v>
      </c>
      <c r="M89" s="90">
        <v>17500</v>
      </c>
      <c r="N89" s="90">
        <v>19000</v>
      </c>
      <c r="O89" s="90">
        <v>20600</v>
      </c>
      <c r="P89" s="90">
        <v>22300</v>
      </c>
      <c r="Q89" s="90">
        <v>24100</v>
      </c>
      <c r="R89" s="90">
        <v>26000</v>
      </c>
      <c r="S89" s="90">
        <v>28000</v>
      </c>
      <c r="T89" s="90">
        <v>30200</v>
      </c>
      <c r="U89" s="90">
        <v>32500</v>
      </c>
      <c r="V89" s="91">
        <v>35000</v>
      </c>
      <c r="X89" s="6" t="s">
        <v>601</v>
      </c>
      <c r="Y89" s="80" t="s">
        <v>691</v>
      </c>
      <c r="Z89" t="str">
        <f t="shared" ref="Z89:Z90" si="11">Y89&amp;X89</f>
        <v>VPF53_65_35_LH</v>
      </c>
    </row>
    <row r="90" spans="1:26" hidden="1" outlineLevel="1" x14ac:dyDescent="0.2">
      <c r="A90" s="56" t="s">
        <v>561</v>
      </c>
      <c r="B90" s="61" t="s">
        <v>562</v>
      </c>
      <c r="C90" s="61">
        <v>0.2</v>
      </c>
      <c r="D90" s="61">
        <v>0.4</v>
      </c>
      <c r="E90" s="61">
        <v>0.6</v>
      </c>
      <c r="F90" s="61">
        <v>0.8</v>
      </c>
      <c r="G90" s="61">
        <v>1</v>
      </c>
      <c r="H90" s="61">
        <v>1.2</v>
      </c>
      <c r="I90" s="61">
        <v>1.4</v>
      </c>
      <c r="J90" s="61">
        <v>1.6</v>
      </c>
      <c r="K90" s="61">
        <v>1.8</v>
      </c>
      <c r="L90" s="61">
        <v>2</v>
      </c>
      <c r="M90" s="61">
        <v>2.2000000000000002</v>
      </c>
      <c r="N90" s="61">
        <v>2.4</v>
      </c>
      <c r="O90" s="61">
        <v>2.6</v>
      </c>
      <c r="P90" s="61">
        <v>2.8</v>
      </c>
      <c r="Q90" s="61">
        <v>3</v>
      </c>
      <c r="R90" s="61">
        <v>3.2</v>
      </c>
      <c r="S90" s="61">
        <v>3.4</v>
      </c>
      <c r="T90" s="61">
        <v>3.6</v>
      </c>
      <c r="U90" s="61">
        <v>3.8</v>
      </c>
      <c r="V90" s="87">
        <v>4</v>
      </c>
      <c r="X90" s="6" t="s">
        <v>602</v>
      </c>
      <c r="Y90" s="80" t="s">
        <v>691</v>
      </c>
      <c r="Z90" t="str">
        <f t="shared" si="11"/>
        <v>VPF53_65_35_DIAL</v>
      </c>
    </row>
    <row r="91" spans="1:26" hidden="1" outlineLevel="1" x14ac:dyDescent="0.2">
      <c r="A91" s="297" t="s">
        <v>620</v>
      </c>
      <c r="B91" s="297"/>
      <c r="C91" s="297"/>
      <c r="D91" s="297"/>
      <c r="E91" s="297"/>
      <c r="F91" s="297"/>
      <c r="G91" s="297"/>
      <c r="H91" s="297"/>
      <c r="I91" s="297"/>
      <c r="J91" s="297"/>
      <c r="K91" s="297"/>
      <c r="L91" s="297"/>
      <c r="M91" s="297"/>
      <c r="N91" s="297"/>
      <c r="O91" s="297"/>
      <c r="P91" s="297"/>
      <c r="Q91" s="297"/>
      <c r="R91" s="297"/>
      <c r="S91" s="297"/>
      <c r="T91" s="297"/>
      <c r="U91" s="297"/>
      <c r="V91" s="297"/>
    </row>
    <row r="92" spans="1:26" hidden="1" outlineLevel="1" x14ac:dyDescent="0.2">
      <c r="A92" s="56" t="s">
        <v>560</v>
      </c>
      <c r="B92" s="57"/>
      <c r="C92" s="57"/>
      <c r="D92" s="57"/>
      <c r="E92" s="85">
        <v>7000</v>
      </c>
      <c r="F92" s="60">
        <v>9000</v>
      </c>
      <c r="G92" s="60">
        <v>11000</v>
      </c>
      <c r="H92" s="60">
        <v>12800</v>
      </c>
      <c r="I92" s="60">
        <v>14500</v>
      </c>
      <c r="J92" s="60">
        <v>16200</v>
      </c>
      <c r="K92" s="60">
        <v>18000</v>
      </c>
      <c r="L92" s="60">
        <v>19600</v>
      </c>
      <c r="M92" s="60">
        <v>21400</v>
      </c>
      <c r="N92" s="60">
        <v>23200</v>
      </c>
      <c r="O92" s="60">
        <v>25100</v>
      </c>
      <c r="P92" s="60">
        <v>27100</v>
      </c>
      <c r="Q92" s="60">
        <v>29300</v>
      </c>
      <c r="R92" s="60">
        <v>31600</v>
      </c>
      <c r="S92" s="60">
        <v>34100</v>
      </c>
      <c r="T92" s="60">
        <v>36800</v>
      </c>
      <c r="U92" s="60">
        <v>39800</v>
      </c>
      <c r="V92" s="86">
        <v>43000</v>
      </c>
      <c r="X92" s="6" t="s">
        <v>601</v>
      </c>
      <c r="Y92" s="80" t="s">
        <v>692</v>
      </c>
      <c r="Z92" t="str">
        <f t="shared" ref="Z92:Z93" si="12">Y92&amp;X92</f>
        <v>VPF53_80_45_LH</v>
      </c>
    </row>
    <row r="93" spans="1:26" hidden="1" outlineLevel="1" x14ac:dyDescent="0.2">
      <c r="A93" s="56" t="s">
        <v>561</v>
      </c>
      <c r="B93" s="61" t="s">
        <v>562</v>
      </c>
      <c r="C93" s="61">
        <v>0.2</v>
      </c>
      <c r="D93" s="61">
        <v>0.4</v>
      </c>
      <c r="E93" s="61">
        <v>0.6</v>
      </c>
      <c r="F93" s="61">
        <v>0.8</v>
      </c>
      <c r="G93" s="61">
        <v>1</v>
      </c>
      <c r="H93" s="61">
        <v>1.2</v>
      </c>
      <c r="I93" s="61">
        <v>1.4</v>
      </c>
      <c r="J93" s="61">
        <v>1.6</v>
      </c>
      <c r="K93" s="61">
        <v>1.8</v>
      </c>
      <c r="L93" s="61">
        <v>2</v>
      </c>
      <c r="M93" s="61">
        <v>2.2000000000000002</v>
      </c>
      <c r="N93" s="61">
        <v>2.4</v>
      </c>
      <c r="O93" s="61">
        <v>2.6</v>
      </c>
      <c r="P93" s="61">
        <v>2.8</v>
      </c>
      <c r="Q93" s="61">
        <v>3</v>
      </c>
      <c r="R93" s="61">
        <v>3.2</v>
      </c>
      <c r="S93" s="61">
        <v>3.4</v>
      </c>
      <c r="T93" s="61">
        <v>3.6</v>
      </c>
      <c r="U93" s="61">
        <v>3.8</v>
      </c>
      <c r="V93" s="87">
        <v>4</v>
      </c>
      <c r="X93" s="6" t="s">
        <v>602</v>
      </c>
      <c r="Y93" s="80" t="s">
        <v>692</v>
      </c>
      <c r="Z93" t="str">
        <f t="shared" si="12"/>
        <v>VPF53_80_45_DIAL</v>
      </c>
    </row>
    <row r="94" spans="1:26" collapsed="1" x14ac:dyDescent="0.2"/>
    <row r="97" spans="1:24" ht="18" x14ac:dyDescent="0.25">
      <c r="A97" s="101" t="s">
        <v>735</v>
      </c>
    </row>
    <row r="99" spans="1:24" x14ac:dyDescent="0.2">
      <c r="A99" s="93" t="s">
        <v>736</v>
      </c>
    </row>
    <row r="100" spans="1:24" x14ac:dyDescent="0.2">
      <c r="A100">
        <v>0.5</v>
      </c>
      <c r="B100">
        <v>0.6</v>
      </c>
      <c r="C100">
        <v>0.8</v>
      </c>
      <c r="D100">
        <v>1</v>
      </c>
      <c r="E100">
        <v>1.2</v>
      </c>
      <c r="F100">
        <v>1.4</v>
      </c>
      <c r="G100">
        <v>1.6</v>
      </c>
      <c r="H100">
        <v>1.8</v>
      </c>
      <c r="I100">
        <v>2</v>
      </c>
      <c r="J100">
        <v>2.2000000000000002</v>
      </c>
      <c r="K100">
        <v>2.4</v>
      </c>
      <c r="L100">
        <v>2.6</v>
      </c>
      <c r="M100">
        <v>2.8</v>
      </c>
      <c r="N100">
        <v>3</v>
      </c>
      <c r="O100">
        <v>3.2</v>
      </c>
      <c r="P100">
        <v>3.4</v>
      </c>
      <c r="Q100">
        <v>3.6</v>
      </c>
      <c r="R100">
        <v>3.8</v>
      </c>
      <c r="S100">
        <v>4</v>
      </c>
      <c r="U100" s="80" t="s">
        <v>602</v>
      </c>
      <c r="V100" s="5" t="s">
        <v>589</v>
      </c>
      <c r="W100" t="str">
        <f t="shared" ref="W100:W101" si="13">V100&amp;U100</f>
        <v>VPI46_15_0.2_DIAL</v>
      </c>
      <c r="X100" t="str">
        <f>"{=INDEX(" &amp; W100 &amp; ",MATCH(MIN(ABS(" &amp; W101 &amp; "-C8)),ABS(" &amp; W101 &amp; "-C8),0))}"</f>
        <v>{=INDEX(VPI46_15_0.2_DIAL,MATCH(MIN(ABS(VPI46_15_0.2_LH-C8)),ABS(VPI46_15_0.2_LH-C8),0))}</v>
      </c>
    </row>
    <row r="101" spans="1:24" x14ac:dyDescent="0.2">
      <c r="A101">
        <v>30</v>
      </c>
      <c r="B101">
        <v>35</v>
      </c>
      <c r="C101">
        <v>45</v>
      </c>
      <c r="D101">
        <v>54</v>
      </c>
      <c r="E101">
        <v>64</v>
      </c>
      <c r="F101">
        <v>74</v>
      </c>
      <c r="G101">
        <v>83</v>
      </c>
      <c r="H101">
        <v>93</v>
      </c>
      <c r="I101">
        <v>103</v>
      </c>
      <c r="J101">
        <v>113</v>
      </c>
      <c r="K101">
        <v>122</v>
      </c>
      <c r="L101">
        <v>132</v>
      </c>
      <c r="M101">
        <v>142</v>
      </c>
      <c r="N101">
        <v>151</v>
      </c>
      <c r="O101">
        <v>161</v>
      </c>
      <c r="P101">
        <v>171</v>
      </c>
      <c r="Q101">
        <v>181</v>
      </c>
      <c r="R101">
        <v>190</v>
      </c>
      <c r="S101">
        <v>200</v>
      </c>
      <c r="U101" s="80" t="s">
        <v>601</v>
      </c>
      <c r="V101" s="5" t="s">
        <v>589</v>
      </c>
      <c r="W101" t="str">
        <f t="shared" si="13"/>
        <v>VPI46_15_0.2_LH</v>
      </c>
      <c r="X101"/>
    </row>
    <row r="103" spans="1:24" x14ac:dyDescent="0.2">
      <c r="A103" s="93" t="s">
        <v>737</v>
      </c>
    </row>
    <row r="104" spans="1:24" x14ac:dyDescent="0.2">
      <c r="A104">
        <v>0.5</v>
      </c>
      <c r="B104">
        <v>0.6</v>
      </c>
      <c r="C104">
        <v>0.8</v>
      </c>
      <c r="D104">
        <v>1</v>
      </c>
      <c r="E104">
        <v>1.2</v>
      </c>
      <c r="F104">
        <v>1.4</v>
      </c>
      <c r="G104">
        <v>1.6</v>
      </c>
      <c r="H104">
        <v>1.8</v>
      </c>
      <c r="I104">
        <v>2</v>
      </c>
      <c r="J104">
        <v>2.2000000000000002</v>
      </c>
      <c r="K104">
        <v>2.4</v>
      </c>
      <c r="L104">
        <v>2.6</v>
      </c>
      <c r="M104">
        <v>2.8</v>
      </c>
      <c r="N104">
        <v>3</v>
      </c>
      <c r="O104">
        <v>3.2</v>
      </c>
      <c r="P104">
        <v>3.4</v>
      </c>
      <c r="Q104">
        <v>3.6</v>
      </c>
      <c r="R104">
        <v>3.8</v>
      </c>
      <c r="S104">
        <v>4</v>
      </c>
      <c r="U104" s="80" t="s">
        <v>602</v>
      </c>
      <c r="V104" s="5" t="s">
        <v>590</v>
      </c>
      <c r="W104" t="str">
        <f t="shared" ref="W104:W105" si="14">V104&amp;U104</f>
        <v>VPI46_15_0.6_DIAL</v>
      </c>
      <c r="X104" t="str">
        <f>"{=INDEX(" &amp; W104 &amp; ",MATCH(MIN(ABS(" &amp; W105 &amp; "-C8)),ABS(" &amp; W105 &amp; "-C8),0))}"</f>
        <v>{=INDEX(VPI46_15_0.6_DIAL,MATCH(MIN(ABS(VPI46_15_0.6_LH-C8)),ABS(VPI46_15_0.6_LH-C8),0))}</v>
      </c>
    </row>
    <row r="105" spans="1:24" x14ac:dyDescent="0.2">
      <c r="A105">
        <v>100</v>
      </c>
      <c r="B105">
        <v>115</v>
      </c>
      <c r="C105">
        <v>130</v>
      </c>
      <c r="D105">
        <v>160</v>
      </c>
      <c r="E105">
        <v>180</v>
      </c>
      <c r="F105">
        <v>210</v>
      </c>
      <c r="G105">
        <v>240</v>
      </c>
      <c r="H105">
        <v>270</v>
      </c>
      <c r="I105">
        <v>300</v>
      </c>
      <c r="J105">
        <v>320</v>
      </c>
      <c r="K105">
        <v>350</v>
      </c>
      <c r="L105">
        <v>380</v>
      </c>
      <c r="M105">
        <v>410</v>
      </c>
      <c r="N105">
        <v>440</v>
      </c>
      <c r="O105">
        <v>460</v>
      </c>
      <c r="P105">
        <v>490</v>
      </c>
      <c r="Q105">
        <v>520</v>
      </c>
      <c r="R105">
        <v>550</v>
      </c>
      <c r="S105">
        <v>575</v>
      </c>
      <c r="U105" s="80" t="s">
        <v>601</v>
      </c>
      <c r="V105" s="5" t="s">
        <v>590</v>
      </c>
      <c r="W105" t="str">
        <f t="shared" si="14"/>
        <v>VPI46_15_0.6_LH</v>
      </c>
    </row>
    <row r="107" spans="1:24" x14ac:dyDescent="0.2">
      <c r="A107" s="93" t="s">
        <v>790</v>
      </c>
    </row>
    <row r="108" spans="1:24" x14ac:dyDescent="0.2">
      <c r="A108">
        <v>0.5</v>
      </c>
      <c r="B108">
        <v>0.6</v>
      </c>
      <c r="C108">
        <v>0.8</v>
      </c>
      <c r="D108">
        <v>1</v>
      </c>
      <c r="E108">
        <v>1.2</v>
      </c>
      <c r="F108">
        <v>1.4</v>
      </c>
      <c r="G108">
        <v>1.6</v>
      </c>
      <c r="H108">
        <v>1.8</v>
      </c>
      <c r="I108">
        <v>2</v>
      </c>
      <c r="J108">
        <v>2.2000000000000002</v>
      </c>
      <c r="K108">
        <v>2.4</v>
      </c>
      <c r="L108">
        <v>2.6</v>
      </c>
      <c r="M108">
        <v>2.8</v>
      </c>
      <c r="N108">
        <v>3</v>
      </c>
      <c r="O108">
        <v>3.2</v>
      </c>
      <c r="P108">
        <v>3.4</v>
      </c>
      <c r="Q108">
        <v>3.6</v>
      </c>
      <c r="R108">
        <v>3.8</v>
      </c>
      <c r="S108">
        <v>4</v>
      </c>
      <c r="U108" s="80" t="s">
        <v>602</v>
      </c>
      <c r="V108" s="5" t="s">
        <v>591</v>
      </c>
      <c r="W108" t="str">
        <f t="shared" ref="W108:W109" si="15">V108&amp;U108</f>
        <v>VPI46_20_1.4_DIAL</v>
      </c>
      <c r="X108" t="str">
        <f>"{=INDEX(" &amp; W108 &amp; ",MATCH(MIN(ABS(" &amp; W109 &amp; "-C8)),ABS(" &amp; W109 &amp; "-C8),0))}"</f>
        <v>{=INDEX(VPI46_20_1.4_DIAL,MATCH(MIN(ABS(VPI46_20_1.4_LH-C8)),ABS(VPI46_20_1.4_LH-C8),0))}</v>
      </c>
    </row>
    <row r="109" spans="1:24" x14ac:dyDescent="0.2">
      <c r="B109">
        <v>220</v>
      </c>
      <c r="C109">
        <v>285</v>
      </c>
      <c r="D109">
        <v>351</v>
      </c>
      <c r="E109">
        <v>416</v>
      </c>
      <c r="F109">
        <v>481</v>
      </c>
      <c r="G109">
        <v>546</v>
      </c>
      <c r="H109">
        <v>612</v>
      </c>
      <c r="I109">
        <v>677</v>
      </c>
      <c r="J109">
        <v>742</v>
      </c>
      <c r="K109">
        <v>808</v>
      </c>
      <c r="L109">
        <v>873</v>
      </c>
      <c r="M109">
        <v>938</v>
      </c>
      <c r="N109">
        <v>1004</v>
      </c>
      <c r="O109">
        <v>1069</v>
      </c>
      <c r="P109">
        <v>1134</v>
      </c>
      <c r="Q109">
        <v>1199</v>
      </c>
      <c r="R109">
        <v>1265</v>
      </c>
      <c r="S109">
        <v>1330</v>
      </c>
      <c r="U109" s="80" t="s">
        <v>601</v>
      </c>
      <c r="V109" s="5" t="s">
        <v>591</v>
      </c>
      <c r="W109" t="str">
        <f t="shared" si="15"/>
        <v>VPI46_20_1.4_LH</v>
      </c>
    </row>
    <row r="111" spans="1:24" x14ac:dyDescent="0.2">
      <c r="A111" s="93" t="s">
        <v>789</v>
      </c>
    </row>
    <row r="112" spans="1:24" x14ac:dyDescent="0.2">
      <c r="A112" s="103">
        <v>0.5</v>
      </c>
      <c r="B112" s="103">
        <v>0.6</v>
      </c>
      <c r="C112" s="103">
        <v>0.8</v>
      </c>
      <c r="D112" s="103">
        <v>1</v>
      </c>
      <c r="E112" s="103">
        <v>1.2</v>
      </c>
      <c r="F112" s="103">
        <v>1.4</v>
      </c>
      <c r="G112" s="103">
        <v>1.6</v>
      </c>
      <c r="H112" s="103">
        <v>1.8</v>
      </c>
      <c r="I112" s="103">
        <v>2</v>
      </c>
      <c r="J112" s="103">
        <v>2.2000000000000002</v>
      </c>
      <c r="K112" s="103">
        <v>2.4</v>
      </c>
      <c r="L112" s="103">
        <v>2.6</v>
      </c>
      <c r="M112" s="103">
        <v>2.8</v>
      </c>
      <c r="N112" s="103">
        <v>3</v>
      </c>
      <c r="O112" s="103">
        <v>3.2</v>
      </c>
      <c r="P112" s="103">
        <v>3.4</v>
      </c>
      <c r="Q112" s="103">
        <v>3.6</v>
      </c>
      <c r="R112" s="103">
        <v>3.8</v>
      </c>
      <c r="S112" s="103">
        <v>4</v>
      </c>
      <c r="U112" s="80" t="s">
        <v>791</v>
      </c>
      <c r="V112" s="5" t="s">
        <v>591</v>
      </c>
      <c r="W112" t="str">
        <f t="shared" ref="W112:W113" si="16">V112&amp;U112</f>
        <v>VPI46_20_1.4_DIALSTA</v>
      </c>
      <c r="X112" t="str">
        <f>"{=INDEX(" &amp; W112 &amp; ",MATCH(MIN(ABS(" &amp; W113 &amp; "-C8)),ABS(" &amp; W113 &amp; "-C8),0))}"</f>
        <v>{=INDEX(VPI46_20_1.4_DIALSTA,MATCH(MIN(ABS(VPI46_20_1.4_LHSTA-C8)),ABS(VPI46_20_1.4_LHSTA-C8),0))}</v>
      </c>
    </row>
    <row r="113" spans="1:24" x14ac:dyDescent="0.2">
      <c r="A113" s="103"/>
      <c r="B113" s="103">
        <v>200</v>
      </c>
      <c r="C113" s="103">
        <v>260</v>
      </c>
      <c r="D113" s="103">
        <v>310</v>
      </c>
      <c r="E113" s="103">
        <v>380</v>
      </c>
      <c r="F113" s="103">
        <v>430</v>
      </c>
      <c r="G113" s="103">
        <v>490</v>
      </c>
      <c r="H113" s="103">
        <v>550</v>
      </c>
      <c r="I113" s="103">
        <v>610</v>
      </c>
      <c r="J113" s="103">
        <v>660</v>
      </c>
      <c r="K113" s="103">
        <v>730</v>
      </c>
      <c r="L113" s="103">
        <v>780</v>
      </c>
      <c r="M113" s="103">
        <v>840</v>
      </c>
      <c r="N113" s="103">
        <v>900</v>
      </c>
      <c r="O113" s="103">
        <v>960</v>
      </c>
      <c r="P113" s="103">
        <v>1010</v>
      </c>
      <c r="Q113" s="103">
        <v>1070</v>
      </c>
      <c r="R113" s="103">
        <v>1130</v>
      </c>
      <c r="S113" s="103">
        <v>1190</v>
      </c>
      <c r="U113" s="80" t="s">
        <v>792</v>
      </c>
      <c r="V113" s="5" t="s">
        <v>591</v>
      </c>
      <c r="W113" t="str">
        <f t="shared" si="16"/>
        <v>VPI46_20_1.4_LHSTA</v>
      </c>
    </row>
    <row r="115" spans="1:24" x14ac:dyDescent="0.2">
      <c r="A115" s="96" t="s">
        <v>738</v>
      </c>
      <c r="B115" s="97"/>
      <c r="C115" s="97"/>
    </row>
    <row r="116" spans="1:24" x14ac:dyDescent="0.2">
      <c r="A116">
        <v>0.5</v>
      </c>
      <c r="B116">
        <v>0.6</v>
      </c>
      <c r="C116">
        <v>0.8</v>
      </c>
      <c r="D116">
        <v>1</v>
      </c>
      <c r="E116">
        <v>1.2</v>
      </c>
      <c r="F116">
        <v>1.4</v>
      </c>
      <c r="G116">
        <v>1.6</v>
      </c>
      <c r="H116">
        <v>1.8</v>
      </c>
      <c r="I116">
        <v>2</v>
      </c>
      <c r="J116">
        <v>2.2000000000000002</v>
      </c>
      <c r="K116">
        <v>2.4</v>
      </c>
      <c r="L116">
        <v>2.6</v>
      </c>
      <c r="M116">
        <v>2.8</v>
      </c>
      <c r="N116">
        <v>3</v>
      </c>
      <c r="O116">
        <v>3.2</v>
      </c>
      <c r="P116">
        <v>3.4</v>
      </c>
      <c r="Q116">
        <v>3.6</v>
      </c>
      <c r="R116">
        <v>3.8</v>
      </c>
      <c r="S116">
        <v>4</v>
      </c>
      <c r="U116" s="80" t="s">
        <v>602</v>
      </c>
      <c r="V116" s="80" t="s">
        <v>758</v>
      </c>
      <c r="W116" t="str">
        <f t="shared" ref="W116:W117" si="17">V116&amp;U116</f>
        <v>VPI46_25_3.6_DIAL</v>
      </c>
      <c r="X116" t="str">
        <f>"{=INDEX(" &amp; W116 &amp; ",MATCH(MIN(ABS(" &amp; W117 &amp; "-C8)),ABS(" &amp; W117 &amp; "-C8),0))}"</f>
        <v>{=INDEX(VPI46_25_3.6_DIAL,MATCH(MIN(ABS(VPI46_25_3.6_LH-C8)),ABS(VPI46_25_3.6_LH-C8),0))}</v>
      </c>
    </row>
    <row r="117" spans="1:24" x14ac:dyDescent="0.2">
      <c r="B117">
        <v>600</v>
      </c>
      <c r="C117">
        <v>777</v>
      </c>
      <c r="D117">
        <v>954</v>
      </c>
      <c r="E117">
        <v>1131</v>
      </c>
      <c r="F117">
        <v>1308</v>
      </c>
      <c r="G117">
        <v>1485</v>
      </c>
      <c r="H117">
        <v>1662</v>
      </c>
      <c r="I117">
        <v>1839</v>
      </c>
      <c r="J117">
        <v>2016</v>
      </c>
      <c r="K117">
        <v>2193</v>
      </c>
      <c r="L117">
        <v>2370</v>
      </c>
      <c r="M117">
        <v>2547</v>
      </c>
      <c r="N117">
        <v>2724</v>
      </c>
      <c r="O117">
        <v>2901</v>
      </c>
      <c r="P117">
        <v>3078</v>
      </c>
      <c r="Q117">
        <v>3255</v>
      </c>
      <c r="R117">
        <v>3432</v>
      </c>
      <c r="S117">
        <v>3609</v>
      </c>
      <c r="U117" s="80" t="s">
        <v>601</v>
      </c>
      <c r="V117" s="80" t="s">
        <v>758</v>
      </c>
      <c r="W117" t="str">
        <f t="shared" si="17"/>
        <v>VPI46_25_3.6_LH</v>
      </c>
    </row>
    <row r="119" spans="1:24" x14ac:dyDescent="0.2">
      <c r="A119" s="96" t="s">
        <v>739</v>
      </c>
      <c r="B119" s="97"/>
      <c r="C119" s="97"/>
    </row>
    <row r="120" spans="1:24" x14ac:dyDescent="0.2">
      <c r="A120">
        <v>0.5</v>
      </c>
      <c r="B120">
        <v>0.6</v>
      </c>
      <c r="C120">
        <v>0.8</v>
      </c>
      <c r="D120">
        <v>1</v>
      </c>
      <c r="E120">
        <v>1.2</v>
      </c>
      <c r="F120">
        <v>1.4</v>
      </c>
      <c r="G120">
        <v>1.6</v>
      </c>
      <c r="H120">
        <v>1.8</v>
      </c>
      <c r="I120">
        <v>2</v>
      </c>
      <c r="J120">
        <v>2.2000000000000002</v>
      </c>
      <c r="K120">
        <v>2.4</v>
      </c>
      <c r="L120">
        <v>2.6</v>
      </c>
      <c r="M120">
        <v>2.8</v>
      </c>
      <c r="N120">
        <v>3</v>
      </c>
      <c r="O120">
        <v>3.2</v>
      </c>
      <c r="P120">
        <v>3.4</v>
      </c>
      <c r="Q120">
        <v>3.6</v>
      </c>
      <c r="R120">
        <v>3.8</v>
      </c>
      <c r="S120">
        <v>4</v>
      </c>
      <c r="U120" s="80" t="s">
        <v>602</v>
      </c>
      <c r="V120" s="80" t="s">
        <v>763</v>
      </c>
      <c r="W120" t="str">
        <f t="shared" ref="W120:W121" si="18">V120&amp;U120</f>
        <v>VPI46_32_4_DIAL</v>
      </c>
      <c r="X120" t="str">
        <f>"{=INDEX(" &amp; W120 &amp; ",MATCH(MIN(ABS(" &amp; W121 &amp; "-C8)),ABS(" &amp; W121 &amp; "-C8),0))}"</f>
        <v>{=INDEX(VPI46_32_4_DIAL,MATCH(MIN(ABS(VPI46_32_4_LH-C8)),ABS(VPI46_32_4_LH-C8),0))}</v>
      </c>
    </row>
    <row r="121" spans="1:24" x14ac:dyDescent="0.2">
      <c r="B121">
        <v>550</v>
      </c>
      <c r="C121">
        <v>753</v>
      </c>
      <c r="D121">
        <v>956</v>
      </c>
      <c r="E121">
        <v>1159</v>
      </c>
      <c r="F121">
        <v>1362</v>
      </c>
      <c r="G121">
        <v>1565</v>
      </c>
      <c r="H121">
        <v>1768</v>
      </c>
      <c r="I121">
        <v>1971</v>
      </c>
      <c r="J121">
        <v>2174</v>
      </c>
      <c r="K121">
        <v>2377</v>
      </c>
      <c r="L121">
        <v>2580</v>
      </c>
      <c r="M121">
        <v>2783</v>
      </c>
      <c r="N121">
        <v>2986</v>
      </c>
      <c r="O121">
        <v>3189</v>
      </c>
      <c r="P121">
        <v>3392</v>
      </c>
      <c r="Q121">
        <v>3595</v>
      </c>
      <c r="R121">
        <v>3798</v>
      </c>
      <c r="S121">
        <v>4001</v>
      </c>
      <c r="U121" s="80" t="s">
        <v>601</v>
      </c>
      <c r="V121" s="80" t="s">
        <v>763</v>
      </c>
      <c r="W121" t="str">
        <f t="shared" si="18"/>
        <v>VPI46_32_4_LH</v>
      </c>
    </row>
    <row r="125" spans="1:24" x14ac:dyDescent="0.2">
      <c r="A125" s="93" t="s">
        <v>740</v>
      </c>
      <c r="V125" s="94"/>
    </row>
    <row r="126" spans="1:24" x14ac:dyDescent="0.2">
      <c r="B126">
        <v>0.6</v>
      </c>
      <c r="C126">
        <v>0.8</v>
      </c>
      <c r="D126">
        <v>1</v>
      </c>
      <c r="E126">
        <v>1.2</v>
      </c>
      <c r="F126">
        <v>1.4</v>
      </c>
      <c r="G126">
        <v>1.6</v>
      </c>
      <c r="H126">
        <v>1.8</v>
      </c>
      <c r="I126">
        <v>2</v>
      </c>
      <c r="J126">
        <v>2.2000000000000002</v>
      </c>
      <c r="K126">
        <v>2.4</v>
      </c>
      <c r="L126">
        <v>2.6</v>
      </c>
      <c r="M126">
        <v>2.8</v>
      </c>
      <c r="N126">
        <v>3</v>
      </c>
      <c r="O126">
        <v>3.2</v>
      </c>
      <c r="P126">
        <v>3.4</v>
      </c>
      <c r="Q126">
        <v>3.6</v>
      </c>
      <c r="R126">
        <v>3.8</v>
      </c>
      <c r="S126">
        <v>4</v>
      </c>
      <c r="U126" s="80" t="s">
        <v>602</v>
      </c>
      <c r="V126" s="95" t="s">
        <v>599</v>
      </c>
      <c r="W126" t="str">
        <f t="shared" ref="W126:W127" si="19">V126&amp;U126</f>
        <v>VPI45_40_7_DIAL</v>
      </c>
      <c r="X126" t="str">
        <f>"{=INDEX(" &amp; W126 &amp; ",MATCH(MIN(ABS(" &amp; W127 &amp; "-C8)),ABS(" &amp; W127 &amp; "-C8),0))}"</f>
        <v>{=INDEX(VPI45_40_7_DIAL,MATCH(MIN(ABS(VPI45_40_7_LH-C8)),ABS(VPI45_40_7_LH-C8),0))}</v>
      </c>
    </row>
    <row r="127" spans="1:24" x14ac:dyDescent="0.2">
      <c r="B127">
        <v>2355</v>
      </c>
      <c r="C127">
        <v>2974</v>
      </c>
      <c r="D127">
        <v>3538</v>
      </c>
      <c r="E127">
        <v>4056</v>
      </c>
      <c r="F127">
        <v>4534</v>
      </c>
      <c r="G127">
        <v>4974</v>
      </c>
      <c r="H127">
        <v>5376</v>
      </c>
      <c r="I127">
        <v>5741</v>
      </c>
      <c r="J127">
        <v>6065</v>
      </c>
      <c r="K127">
        <v>6346</v>
      </c>
      <c r="L127">
        <v>6582</v>
      </c>
      <c r="M127">
        <v>6772</v>
      </c>
      <c r="N127">
        <v>6916</v>
      </c>
      <c r="O127">
        <v>7015</v>
      </c>
      <c r="P127">
        <v>7073</v>
      </c>
      <c r="Q127">
        <v>7100</v>
      </c>
      <c r="R127">
        <v>7105</v>
      </c>
      <c r="S127">
        <v>7105</v>
      </c>
      <c r="U127" s="80" t="s">
        <v>601</v>
      </c>
      <c r="V127" s="95" t="s">
        <v>599</v>
      </c>
      <c r="W127" t="str">
        <f t="shared" si="19"/>
        <v>VPI45_40_7_LH</v>
      </c>
    </row>
    <row r="128" spans="1:24" x14ac:dyDescent="0.2">
      <c r="V128" s="78"/>
    </row>
    <row r="129" spans="1:24" x14ac:dyDescent="0.2">
      <c r="A129" s="93" t="s">
        <v>741</v>
      </c>
      <c r="V129" s="94"/>
    </row>
    <row r="130" spans="1:24" x14ac:dyDescent="0.2">
      <c r="B130">
        <v>0.6</v>
      </c>
      <c r="C130">
        <v>0.8</v>
      </c>
      <c r="D130">
        <v>1</v>
      </c>
      <c r="E130">
        <v>1.2</v>
      </c>
      <c r="F130">
        <v>1.4</v>
      </c>
      <c r="G130">
        <v>1.6</v>
      </c>
      <c r="H130">
        <v>1.8</v>
      </c>
      <c r="I130">
        <v>2</v>
      </c>
      <c r="J130">
        <v>2.2000000000000002</v>
      </c>
      <c r="K130">
        <v>2.4</v>
      </c>
      <c r="L130">
        <v>2.6</v>
      </c>
      <c r="M130">
        <v>2.8</v>
      </c>
      <c r="N130">
        <v>3</v>
      </c>
      <c r="O130">
        <v>3.2</v>
      </c>
      <c r="P130">
        <v>3.4</v>
      </c>
      <c r="Q130">
        <v>3.6</v>
      </c>
      <c r="R130">
        <v>3.8</v>
      </c>
      <c r="S130">
        <v>4</v>
      </c>
      <c r="U130" s="80" t="s">
        <v>602</v>
      </c>
      <c r="V130" s="95" t="s">
        <v>600</v>
      </c>
      <c r="W130" t="str">
        <f t="shared" ref="W130:W131" si="20">V130&amp;U130</f>
        <v>VPI45_50_8.5_DIAL</v>
      </c>
      <c r="X130" t="str">
        <f>"{=INDEX(" &amp; W130 &amp; ",MATCH(MIN(ABS(" &amp; W131 &amp; "-C8)),ABS(" &amp; W131 &amp; "-C8),0))}"</f>
        <v>{=INDEX(VPI45_50_8.5_DIAL,MATCH(MIN(ABS(VPI45_50_8.5_LH-C8)),ABS(VPI45_50_8.5_LH-C8),0))}</v>
      </c>
    </row>
    <row r="131" spans="1:24" x14ac:dyDescent="0.2">
      <c r="B131">
        <v>2664</v>
      </c>
      <c r="C131">
        <v>3537</v>
      </c>
      <c r="D131">
        <v>4337</v>
      </c>
      <c r="E131">
        <v>5053</v>
      </c>
      <c r="F131">
        <v>5682</v>
      </c>
      <c r="G131">
        <v>6224</v>
      </c>
      <c r="H131">
        <v>6684</v>
      </c>
      <c r="I131">
        <v>7070</v>
      </c>
      <c r="J131">
        <v>7389</v>
      </c>
      <c r="K131">
        <v>7652</v>
      </c>
      <c r="L131">
        <v>7870</v>
      </c>
      <c r="M131">
        <v>8051</v>
      </c>
      <c r="N131">
        <v>8204</v>
      </c>
      <c r="O131">
        <v>8333</v>
      </c>
      <c r="P131">
        <v>8441</v>
      </c>
      <c r="Q131">
        <v>8525</v>
      </c>
      <c r="R131">
        <v>8578</v>
      </c>
      <c r="S131">
        <v>8586</v>
      </c>
      <c r="U131" s="80" t="s">
        <v>601</v>
      </c>
      <c r="V131" s="95" t="s">
        <v>600</v>
      </c>
      <c r="W131" t="str">
        <f t="shared" si="20"/>
        <v>VPI45_50_8.5_LH</v>
      </c>
    </row>
    <row r="132" spans="1:24" x14ac:dyDescent="0.2">
      <c r="V132" s="94"/>
    </row>
    <row r="133" spans="1:24" x14ac:dyDescent="0.2">
      <c r="V133" s="94"/>
    </row>
    <row r="134" spans="1:24" x14ac:dyDescent="0.2">
      <c r="V134" s="94"/>
    </row>
    <row r="135" spans="1:24" x14ac:dyDescent="0.2">
      <c r="A135" s="216" t="s">
        <v>742</v>
      </c>
      <c r="B135" s="217"/>
      <c r="C135" s="217"/>
    </row>
    <row r="136" spans="1:24" x14ac:dyDescent="0.2">
      <c r="B136">
        <v>0.6</v>
      </c>
      <c r="C136">
        <v>0.8</v>
      </c>
      <c r="D136">
        <v>1</v>
      </c>
      <c r="E136">
        <v>1.2</v>
      </c>
      <c r="F136">
        <v>1.4</v>
      </c>
      <c r="G136">
        <v>1.6</v>
      </c>
      <c r="H136">
        <v>1.8</v>
      </c>
      <c r="I136">
        <v>2</v>
      </c>
      <c r="J136">
        <v>2.2000000000000002</v>
      </c>
      <c r="K136">
        <v>2.4</v>
      </c>
      <c r="L136">
        <v>2.6</v>
      </c>
      <c r="M136">
        <v>2.8</v>
      </c>
      <c r="N136">
        <v>3</v>
      </c>
      <c r="O136">
        <v>3.2</v>
      </c>
      <c r="P136">
        <v>3.4</v>
      </c>
      <c r="Q136">
        <v>3.6</v>
      </c>
      <c r="R136">
        <v>3.8</v>
      </c>
      <c r="S136">
        <v>4</v>
      </c>
      <c r="U136" s="80" t="s">
        <v>602</v>
      </c>
      <c r="V136" s="80" t="s">
        <v>681</v>
      </c>
      <c r="W136" t="str">
        <f t="shared" ref="W136:W137" si="21">V136&amp;U136</f>
        <v>VPF43_50_16_DIAL</v>
      </c>
      <c r="X136" t="str">
        <f>"{=INDEX(" &amp; W136 &amp; ",MATCH(MIN(ABS(" &amp; W137 &amp; "-C8)),ABS(" &amp; W137 &amp; "-C8),0))}"</f>
        <v>{=INDEX(VPF43_50_16_DIAL,MATCH(MIN(ABS(VPF43_50_16_LH-C8)),ABS(VPF43_50_16_LH-C8),0))}</v>
      </c>
    </row>
    <row r="137" spans="1:24" x14ac:dyDescent="0.2">
      <c r="B137">
        <v>2500</v>
      </c>
      <c r="C137">
        <v>3200</v>
      </c>
      <c r="D137">
        <v>3900</v>
      </c>
      <c r="E137">
        <v>4500</v>
      </c>
      <c r="F137">
        <v>5100</v>
      </c>
      <c r="G137">
        <v>5700</v>
      </c>
      <c r="H137">
        <v>6300</v>
      </c>
      <c r="I137">
        <v>6900</v>
      </c>
      <c r="J137">
        <v>7500</v>
      </c>
      <c r="K137">
        <v>8100</v>
      </c>
      <c r="L137">
        <v>8800</v>
      </c>
      <c r="M137">
        <v>9500</v>
      </c>
      <c r="N137">
        <v>10200</v>
      </c>
      <c r="O137">
        <v>11000</v>
      </c>
      <c r="P137">
        <v>11900</v>
      </c>
      <c r="Q137">
        <v>12800</v>
      </c>
      <c r="R137">
        <v>13900</v>
      </c>
      <c r="S137">
        <v>15000</v>
      </c>
      <c r="U137" s="80" t="s">
        <v>601</v>
      </c>
      <c r="V137" s="80" t="s">
        <v>681</v>
      </c>
      <c r="W137" t="str">
        <f t="shared" si="21"/>
        <v>VPF43_50_16_LH</v>
      </c>
    </row>
    <row r="139" spans="1:24" x14ac:dyDescent="0.2">
      <c r="A139" s="216" t="s">
        <v>743</v>
      </c>
      <c r="B139" s="217"/>
      <c r="C139" s="217"/>
    </row>
    <row r="140" spans="1:24" x14ac:dyDescent="0.2">
      <c r="B140">
        <v>0.6</v>
      </c>
      <c r="C140">
        <v>0.8</v>
      </c>
      <c r="D140">
        <v>1</v>
      </c>
      <c r="E140">
        <v>1.2</v>
      </c>
      <c r="F140">
        <v>1.4</v>
      </c>
      <c r="G140">
        <v>1.6</v>
      </c>
      <c r="H140">
        <v>1.8</v>
      </c>
      <c r="I140">
        <v>2</v>
      </c>
      <c r="J140">
        <v>2.2000000000000002</v>
      </c>
      <c r="K140">
        <v>2.4</v>
      </c>
      <c r="L140">
        <v>2.6</v>
      </c>
      <c r="M140">
        <v>2.8</v>
      </c>
      <c r="N140">
        <v>3</v>
      </c>
      <c r="O140">
        <v>3.2</v>
      </c>
      <c r="P140">
        <v>3.4</v>
      </c>
      <c r="Q140">
        <v>3.6</v>
      </c>
      <c r="R140">
        <v>3.8</v>
      </c>
      <c r="S140">
        <v>4</v>
      </c>
      <c r="U140" s="80" t="s">
        <v>602</v>
      </c>
      <c r="V140" s="80" t="s">
        <v>684</v>
      </c>
      <c r="W140" t="str">
        <f t="shared" ref="W140:W141" si="22">V140&amp;U140</f>
        <v>VPF43_50_25_DIAL</v>
      </c>
      <c r="X140" t="str">
        <f>"{=INDEX(" &amp; W140 &amp; ",MATCH(MIN(ABS(" &amp; W141 &amp; "-C8)),ABS(" &amp; W141 &amp; "-C8),0))}"</f>
        <v>{=INDEX(VPF43_50_25_DIAL,MATCH(MIN(ABS(VPF43_50_25_LH-C8)),ABS(VPF43_50_25_LH-C8),0))}</v>
      </c>
    </row>
    <row r="141" spans="1:24" x14ac:dyDescent="0.2">
      <c r="B141">
        <v>3900</v>
      </c>
      <c r="C141">
        <v>5100</v>
      </c>
      <c r="D141">
        <v>6200</v>
      </c>
      <c r="E141">
        <v>7200</v>
      </c>
      <c r="F141">
        <v>8200</v>
      </c>
      <c r="G141">
        <v>9200</v>
      </c>
      <c r="H141">
        <v>10200</v>
      </c>
      <c r="I141">
        <v>11200</v>
      </c>
      <c r="J141">
        <v>12200</v>
      </c>
      <c r="K141">
        <v>13200</v>
      </c>
      <c r="L141">
        <v>14300</v>
      </c>
      <c r="M141">
        <v>15400</v>
      </c>
      <c r="N141">
        <v>16600</v>
      </c>
      <c r="O141">
        <v>17900</v>
      </c>
      <c r="P141">
        <v>19200</v>
      </c>
      <c r="Q141">
        <v>20700</v>
      </c>
      <c r="R141">
        <v>22300</v>
      </c>
      <c r="S141">
        <v>24000</v>
      </c>
      <c r="U141" s="80" t="s">
        <v>601</v>
      </c>
      <c r="V141" s="80" t="s">
        <v>684</v>
      </c>
      <c r="W141" t="str">
        <f t="shared" si="22"/>
        <v>VPF43_50_25_LH</v>
      </c>
    </row>
    <row r="143" spans="1:24" x14ac:dyDescent="0.2">
      <c r="A143" s="93" t="s">
        <v>744</v>
      </c>
    </row>
    <row r="144" spans="1:24" x14ac:dyDescent="0.2">
      <c r="A144">
        <v>0.5</v>
      </c>
      <c r="B144">
        <v>0.6</v>
      </c>
      <c r="C144">
        <v>0.8</v>
      </c>
      <c r="D144">
        <v>1</v>
      </c>
      <c r="E144">
        <v>1.2</v>
      </c>
      <c r="F144">
        <v>1.4</v>
      </c>
      <c r="G144">
        <v>1.6</v>
      </c>
      <c r="H144">
        <v>1.8</v>
      </c>
      <c r="I144">
        <v>2</v>
      </c>
      <c r="J144">
        <v>2.2000000000000002</v>
      </c>
      <c r="K144">
        <v>2.4</v>
      </c>
      <c r="L144">
        <v>2.6</v>
      </c>
      <c r="M144">
        <v>2.8</v>
      </c>
      <c r="N144">
        <v>3</v>
      </c>
      <c r="O144">
        <v>3.2</v>
      </c>
      <c r="P144">
        <v>3.4</v>
      </c>
      <c r="Q144">
        <v>3.6</v>
      </c>
      <c r="R144">
        <v>3.8</v>
      </c>
      <c r="S144">
        <v>4</v>
      </c>
      <c r="U144" s="80" t="s">
        <v>602</v>
      </c>
      <c r="V144" s="80" t="s">
        <v>682</v>
      </c>
      <c r="W144" t="str">
        <f t="shared" ref="W144:W145" si="23">V144&amp;U144</f>
        <v>VPF43_65_24_DIAL</v>
      </c>
      <c r="X144" t="str">
        <f>"{=INDEX(" &amp; W144 &amp; ",MATCH(MIN(ABS(" &amp; W145 &amp; "-C8)),ABS(" &amp; W145 &amp; "-C8),0))}"</f>
        <v>{=INDEX(VPF43_65_24_DIAL,MATCH(MIN(ABS(VPF43_65_24_LH-C8)),ABS(VPF43_65_24_LH-C8),0))}</v>
      </c>
    </row>
    <row r="145" spans="1:24" x14ac:dyDescent="0.2">
      <c r="B145">
        <v>4400</v>
      </c>
      <c r="C145">
        <v>5600</v>
      </c>
      <c r="D145">
        <v>6600</v>
      </c>
      <c r="E145">
        <v>7700</v>
      </c>
      <c r="F145">
        <v>8600</v>
      </c>
      <c r="G145">
        <v>9600</v>
      </c>
      <c r="H145">
        <v>10500</v>
      </c>
      <c r="I145">
        <v>11500</v>
      </c>
      <c r="J145">
        <v>12500</v>
      </c>
      <c r="K145">
        <v>13500</v>
      </c>
      <c r="L145">
        <v>14700</v>
      </c>
      <c r="M145">
        <v>15800</v>
      </c>
      <c r="N145">
        <v>17100</v>
      </c>
      <c r="O145">
        <v>18500</v>
      </c>
      <c r="P145">
        <v>19900</v>
      </c>
      <c r="Q145">
        <v>21500</v>
      </c>
      <c r="R145">
        <v>23200</v>
      </c>
      <c r="S145">
        <v>25000</v>
      </c>
      <c r="U145" s="80" t="s">
        <v>601</v>
      </c>
      <c r="V145" s="80" t="s">
        <v>682</v>
      </c>
      <c r="W145" t="str">
        <f t="shared" si="23"/>
        <v>VPF43_65_24_LH</v>
      </c>
    </row>
    <row r="147" spans="1:24" x14ac:dyDescent="0.2">
      <c r="A147" s="93" t="s">
        <v>745</v>
      </c>
    </row>
    <row r="148" spans="1:24" x14ac:dyDescent="0.2">
      <c r="A148">
        <v>0.5</v>
      </c>
      <c r="B148">
        <v>0.6</v>
      </c>
      <c r="C148">
        <v>0.8</v>
      </c>
      <c r="D148">
        <v>1</v>
      </c>
      <c r="E148">
        <v>1.2</v>
      </c>
      <c r="F148">
        <v>1.4</v>
      </c>
      <c r="G148">
        <v>1.6</v>
      </c>
      <c r="H148">
        <v>1.8</v>
      </c>
      <c r="I148">
        <v>2</v>
      </c>
      <c r="J148">
        <v>2.2000000000000002</v>
      </c>
      <c r="K148">
        <v>2.4</v>
      </c>
      <c r="L148">
        <v>2.6</v>
      </c>
      <c r="M148">
        <v>2.8</v>
      </c>
      <c r="N148">
        <v>3</v>
      </c>
      <c r="O148">
        <v>3.2</v>
      </c>
      <c r="P148">
        <v>3.4</v>
      </c>
      <c r="Q148">
        <v>3.6</v>
      </c>
      <c r="R148">
        <v>3.8</v>
      </c>
      <c r="S148">
        <v>4</v>
      </c>
      <c r="U148" s="80" t="s">
        <v>602</v>
      </c>
      <c r="V148" s="80" t="s">
        <v>685</v>
      </c>
      <c r="W148" t="str">
        <f t="shared" ref="W148:W149" si="24">V148&amp;U148</f>
        <v>VPF43_65_35_DIAL</v>
      </c>
      <c r="X148" t="str">
        <f>"{=INDEX(" &amp; W148 &amp; ",MATCH(MIN(ABS(" &amp; W149 &amp; "-C8)),ABS(" &amp; W149 &amp; "-C8),0))}"</f>
        <v>{=INDEX(VPF43_65_35_DIAL,MATCH(MIN(ABS(VPF43_65_35_LH-C8)),ABS(VPF43_65_35_LH-C8),0))}</v>
      </c>
    </row>
    <row r="149" spans="1:24" x14ac:dyDescent="0.2">
      <c r="B149">
        <v>6000</v>
      </c>
      <c r="C149">
        <v>7600</v>
      </c>
      <c r="D149">
        <v>9100</v>
      </c>
      <c r="E149">
        <v>10500</v>
      </c>
      <c r="F149">
        <v>11900</v>
      </c>
      <c r="G149">
        <v>13300</v>
      </c>
      <c r="H149">
        <v>14700</v>
      </c>
      <c r="I149">
        <v>16000</v>
      </c>
      <c r="J149">
        <v>17500</v>
      </c>
      <c r="K149">
        <v>19000</v>
      </c>
      <c r="L149">
        <v>20600</v>
      </c>
      <c r="M149">
        <v>22300</v>
      </c>
      <c r="N149">
        <v>24100</v>
      </c>
      <c r="O149">
        <v>26000</v>
      </c>
      <c r="P149">
        <v>28000</v>
      </c>
      <c r="Q149">
        <v>30200</v>
      </c>
      <c r="R149">
        <v>32500</v>
      </c>
      <c r="S149">
        <v>35000</v>
      </c>
      <c r="U149" s="80" t="s">
        <v>601</v>
      </c>
      <c r="V149" s="80" t="s">
        <v>685</v>
      </c>
      <c r="W149" t="str">
        <f t="shared" si="24"/>
        <v>VPF43_65_35_LH</v>
      </c>
    </row>
    <row r="151" spans="1:24" x14ac:dyDescent="0.2">
      <c r="A151" s="93" t="s">
        <v>746</v>
      </c>
    </row>
    <row r="152" spans="1:24" x14ac:dyDescent="0.2">
      <c r="A152">
        <v>0.5</v>
      </c>
      <c r="B152">
        <v>0.6</v>
      </c>
      <c r="C152">
        <v>0.8</v>
      </c>
      <c r="D152">
        <v>1</v>
      </c>
      <c r="E152">
        <v>1.2</v>
      </c>
      <c r="F152">
        <v>1.4</v>
      </c>
      <c r="G152">
        <v>1.6</v>
      </c>
      <c r="H152">
        <v>1.8</v>
      </c>
      <c r="I152">
        <v>2</v>
      </c>
      <c r="J152">
        <v>2.2000000000000002</v>
      </c>
      <c r="K152">
        <v>2.4</v>
      </c>
      <c r="L152">
        <v>2.6</v>
      </c>
      <c r="M152">
        <v>2.8</v>
      </c>
      <c r="N152">
        <v>3</v>
      </c>
      <c r="O152">
        <v>3.2</v>
      </c>
      <c r="P152">
        <v>3.4</v>
      </c>
      <c r="Q152">
        <v>3.6</v>
      </c>
      <c r="R152">
        <v>3.8</v>
      </c>
      <c r="S152">
        <v>4</v>
      </c>
      <c r="U152" s="80" t="s">
        <v>602</v>
      </c>
      <c r="V152" s="80" t="s">
        <v>683</v>
      </c>
      <c r="W152" t="str">
        <f t="shared" ref="W152:W153" si="25">V152&amp;U152</f>
        <v>VPF43_80_35_DIAL</v>
      </c>
      <c r="X152" t="str">
        <f>"{=INDEX(" &amp; W152 &amp; ",MATCH(MIN(ABS(" &amp; W153 &amp; "-C8)),ABS(" &amp; W153 &amp; "-C8),0))}"</f>
        <v>{=INDEX(VPF43_80_35_DIAL,MATCH(MIN(ABS(VPF43_80_35_LH-C8)),ABS(VPF43_80_35_LH-C8),0))}</v>
      </c>
    </row>
    <row r="153" spans="1:24" x14ac:dyDescent="0.2">
      <c r="B153">
        <v>5300</v>
      </c>
      <c r="C153">
        <v>6900</v>
      </c>
      <c r="D153">
        <v>8300</v>
      </c>
      <c r="E153">
        <v>9600</v>
      </c>
      <c r="F153">
        <v>10900</v>
      </c>
      <c r="G153">
        <v>12200</v>
      </c>
      <c r="H153">
        <v>13500</v>
      </c>
      <c r="I153">
        <v>14800</v>
      </c>
      <c r="J153">
        <v>16200</v>
      </c>
      <c r="K153">
        <v>17600</v>
      </c>
      <c r="L153">
        <v>19100</v>
      </c>
      <c r="M153">
        <v>20700</v>
      </c>
      <c r="N153">
        <v>22400</v>
      </c>
      <c r="O153">
        <v>24300</v>
      </c>
      <c r="P153">
        <v>26400</v>
      </c>
      <c r="Q153">
        <v>28700</v>
      </c>
      <c r="R153">
        <v>31200</v>
      </c>
      <c r="S153">
        <v>34000</v>
      </c>
      <c r="U153" s="80" t="s">
        <v>601</v>
      </c>
      <c r="V153" s="80" t="s">
        <v>683</v>
      </c>
      <c r="W153" t="str">
        <f t="shared" si="25"/>
        <v>VPF43_80_35_LH</v>
      </c>
    </row>
    <row r="155" spans="1:24" x14ac:dyDescent="0.2">
      <c r="A155" s="93" t="s">
        <v>747</v>
      </c>
    </row>
    <row r="156" spans="1:24" x14ac:dyDescent="0.2">
      <c r="A156">
        <v>0.5</v>
      </c>
      <c r="B156">
        <v>0.6</v>
      </c>
      <c r="C156">
        <v>0.8</v>
      </c>
      <c r="D156">
        <v>1</v>
      </c>
      <c r="E156">
        <v>1.2</v>
      </c>
      <c r="F156">
        <v>1.4</v>
      </c>
      <c r="G156">
        <v>1.6</v>
      </c>
      <c r="H156">
        <v>1.8</v>
      </c>
      <c r="I156">
        <v>2</v>
      </c>
      <c r="J156">
        <v>2.2000000000000002</v>
      </c>
      <c r="K156">
        <v>2.4</v>
      </c>
      <c r="L156">
        <v>2.6</v>
      </c>
      <c r="M156">
        <v>2.8</v>
      </c>
      <c r="N156">
        <v>3</v>
      </c>
      <c r="O156">
        <v>3.2</v>
      </c>
      <c r="P156">
        <v>3.4</v>
      </c>
      <c r="Q156">
        <v>3.6</v>
      </c>
      <c r="R156">
        <v>3.8</v>
      </c>
      <c r="S156">
        <v>4</v>
      </c>
      <c r="U156" s="80" t="s">
        <v>602</v>
      </c>
      <c r="V156" s="80" t="s">
        <v>686</v>
      </c>
      <c r="W156" t="str">
        <f t="shared" ref="W156:W157" si="26">V156&amp;U156</f>
        <v>VPF43_80_45_DIAL</v>
      </c>
      <c r="X156" t="str">
        <f>"{=INDEX(" &amp; W156 &amp; ",MATCH(MIN(ABS(" &amp; W157 &amp; "-C8)),ABS(" &amp; W157 &amp; "-C8),0))}"</f>
        <v>{=INDEX(VPF43_80_45_DIAL,MATCH(MIN(ABS(VPF43_80_45_LH-C8)),ABS(VPF43_80_45_LH-C8),0))}</v>
      </c>
    </row>
    <row r="157" spans="1:24" x14ac:dyDescent="0.2">
      <c r="B157">
        <v>7000</v>
      </c>
      <c r="C157">
        <v>9000</v>
      </c>
      <c r="D157">
        <v>11000</v>
      </c>
      <c r="E157">
        <v>12800</v>
      </c>
      <c r="F157">
        <v>14500</v>
      </c>
      <c r="G157">
        <v>16200</v>
      </c>
      <c r="H157">
        <v>18000</v>
      </c>
      <c r="I157">
        <v>19600</v>
      </c>
      <c r="J157">
        <v>21400</v>
      </c>
      <c r="K157">
        <v>23200</v>
      </c>
      <c r="L157">
        <v>25100</v>
      </c>
      <c r="M157">
        <v>27100</v>
      </c>
      <c r="N157">
        <v>29300</v>
      </c>
      <c r="O157">
        <v>31600</v>
      </c>
      <c r="P157">
        <v>34100</v>
      </c>
      <c r="Q157">
        <v>36800</v>
      </c>
      <c r="R157">
        <v>39800</v>
      </c>
      <c r="S157">
        <v>43000</v>
      </c>
      <c r="U157" s="80" t="s">
        <v>601</v>
      </c>
      <c r="V157" s="80" t="s">
        <v>686</v>
      </c>
      <c r="W157" t="str">
        <f t="shared" si="26"/>
        <v>VPF43_80_45_LH</v>
      </c>
    </row>
    <row r="159" spans="1:24" x14ac:dyDescent="0.2">
      <c r="A159" s="214" t="s">
        <v>748</v>
      </c>
      <c r="B159" s="94"/>
      <c r="C159" s="94"/>
      <c r="W159" t="str">
        <f t="shared" ref="W159:W161" si="27">V159&amp;U159</f>
        <v/>
      </c>
    </row>
    <row r="160" spans="1:24" x14ac:dyDescent="0.2">
      <c r="A160">
        <v>0.5</v>
      </c>
      <c r="B160">
        <v>0.6</v>
      </c>
      <c r="C160">
        <v>0.8</v>
      </c>
      <c r="D160">
        <v>1</v>
      </c>
      <c r="E160">
        <v>1.2</v>
      </c>
      <c r="F160">
        <v>1.4</v>
      </c>
      <c r="G160">
        <v>1.6</v>
      </c>
      <c r="H160">
        <v>1.8</v>
      </c>
      <c r="I160">
        <v>2</v>
      </c>
      <c r="J160">
        <v>2.2000000000000002</v>
      </c>
      <c r="K160">
        <v>2.4</v>
      </c>
      <c r="L160">
        <v>2.6</v>
      </c>
      <c r="M160">
        <v>2.8</v>
      </c>
      <c r="N160">
        <v>3</v>
      </c>
      <c r="O160">
        <v>3.2</v>
      </c>
      <c r="P160">
        <v>3.4</v>
      </c>
      <c r="Q160">
        <v>3.6</v>
      </c>
      <c r="R160">
        <v>3.8</v>
      </c>
      <c r="S160">
        <v>4</v>
      </c>
      <c r="U160" s="80" t="s">
        <v>602</v>
      </c>
      <c r="V160" s="80" t="s">
        <v>761</v>
      </c>
      <c r="W160" t="str">
        <f t="shared" si="27"/>
        <v>VPF43_100_70_DIAL</v>
      </c>
      <c r="X160" t="str">
        <f>"{=INDEX(" &amp; W160 &amp; ",MATCH(MIN(ABS(" &amp; W161 &amp; "-C8)),ABS(" &amp; W161 &amp; "-C8),0))}"</f>
        <v>{=INDEX(VPF43_100_70_DIAL,MATCH(MIN(ABS(VPF43_100_70_LH-C8)),ABS(VPF43_100_70_LH-C8),0))}</v>
      </c>
    </row>
    <row r="161" spans="1:24" x14ac:dyDescent="0.2">
      <c r="B161">
        <v>12100</v>
      </c>
      <c r="C161">
        <v>15300</v>
      </c>
      <c r="D161">
        <v>18100</v>
      </c>
      <c r="E161">
        <v>20800</v>
      </c>
      <c r="F161">
        <v>23200</v>
      </c>
      <c r="G161">
        <v>25500</v>
      </c>
      <c r="H161">
        <v>27800</v>
      </c>
      <c r="I161">
        <v>30000</v>
      </c>
      <c r="J161">
        <v>32400</v>
      </c>
      <c r="K161">
        <v>34900</v>
      </c>
      <c r="L161">
        <v>37600</v>
      </c>
      <c r="M161">
        <v>40600</v>
      </c>
      <c r="N161">
        <v>44000</v>
      </c>
      <c r="O161">
        <v>47700</v>
      </c>
      <c r="P161">
        <v>51900</v>
      </c>
      <c r="Q161">
        <v>56700</v>
      </c>
      <c r="R161">
        <v>62000</v>
      </c>
      <c r="S161">
        <v>68000</v>
      </c>
      <c r="U161" s="80" t="s">
        <v>601</v>
      </c>
      <c r="V161" s="80" t="s">
        <v>761</v>
      </c>
      <c r="W161" t="str">
        <f t="shared" si="27"/>
        <v>VPF43_100_70_LH</v>
      </c>
    </row>
    <row r="163" spans="1:24" x14ac:dyDescent="0.2">
      <c r="A163" s="214" t="s">
        <v>749</v>
      </c>
      <c r="B163" s="94"/>
      <c r="C163" s="94"/>
    </row>
    <row r="164" spans="1:24" x14ac:dyDescent="0.2">
      <c r="A164">
        <v>0.5</v>
      </c>
      <c r="B164">
        <v>0.6</v>
      </c>
      <c r="C164">
        <v>0.8</v>
      </c>
      <c r="D164">
        <v>1</v>
      </c>
      <c r="E164">
        <v>1.2</v>
      </c>
      <c r="F164">
        <v>1.4</v>
      </c>
      <c r="G164">
        <v>1.6</v>
      </c>
      <c r="H164">
        <v>1.8</v>
      </c>
      <c r="I164">
        <v>2</v>
      </c>
      <c r="J164">
        <v>2.2000000000000002</v>
      </c>
      <c r="K164">
        <v>2.4</v>
      </c>
      <c r="L164">
        <v>2.6</v>
      </c>
      <c r="M164">
        <v>2.8</v>
      </c>
      <c r="N164">
        <v>3</v>
      </c>
      <c r="O164">
        <v>3.2</v>
      </c>
      <c r="P164">
        <v>3.4</v>
      </c>
      <c r="Q164">
        <v>3.6</v>
      </c>
      <c r="R164">
        <v>3.8</v>
      </c>
      <c r="S164">
        <v>4</v>
      </c>
      <c r="U164" s="80" t="s">
        <v>602</v>
      </c>
      <c r="V164" s="80" t="s">
        <v>762</v>
      </c>
      <c r="W164" t="str">
        <f t="shared" ref="W164:W165" si="28">V164&amp;U164</f>
        <v>VPF43_100_90_DIAL</v>
      </c>
      <c r="X164" t="str">
        <f>"{=INDEX(" &amp; W164 &amp; ",MATCH(MIN(ABS(" &amp; W165 &amp; "-C8)),ABS(" &amp; W165 &amp; "-C8),0))}"</f>
        <v>{=INDEX(VPF43_100_90_DIAL,MATCH(MIN(ABS(VPF43_100_90_LH-C8)),ABS(VPF43_100_90_LH-C8),0))}</v>
      </c>
    </row>
    <row r="165" spans="1:24" x14ac:dyDescent="0.2">
      <c r="B165">
        <v>14800</v>
      </c>
      <c r="C165">
        <v>18900</v>
      </c>
      <c r="D165">
        <v>22600</v>
      </c>
      <c r="E165">
        <v>26000</v>
      </c>
      <c r="F165">
        <v>29100</v>
      </c>
      <c r="G165">
        <v>32100</v>
      </c>
      <c r="H165">
        <v>35100</v>
      </c>
      <c r="I165">
        <v>38100</v>
      </c>
      <c r="J165">
        <v>41200</v>
      </c>
      <c r="K165">
        <v>44500</v>
      </c>
      <c r="L165">
        <v>48200</v>
      </c>
      <c r="M165">
        <v>52200</v>
      </c>
      <c r="N165">
        <v>56700</v>
      </c>
      <c r="O165">
        <v>61900</v>
      </c>
      <c r="P165">
        <v>67700</v>
      </c>
      <c r="Q165">
        <v>74200</v>
      </c>
      <c r="R165">
        <v>81700</v>
      </c>
      <c r="S165">
        <v>90000</v>
      </c>
      <c r="U165" s="80" t="s">
        <v>601</v>
      </c>
      <c r="V165" s="80" t="s">
        <v>762</v>
      </c>
      <c r="W165" t="str">
        <f t="shared" si="28"/>
        <v>VPF43_100_90_LH</v>
      </c>
    </row>
    <row r="167" spans="1:24" x14ac:dyDescent="0.2">
      <c r="A167" s="96" t="s">
        <v>799</v>
      </c>
      <c r="B167" s="97"/>
      <c r="C167" s="97"/>
      <c r="W167" t="str">
        <f t="shared" ref="W167:W169" si="29">V167&amp;U167</f>
        <v/>
      </c>
    </row>
    <row r="168" spans="1:24" x14ac:dyDescent="0.2">
      <c r="A168">
        <v>0.5</v>
      </c>
      <c r="B168" s="94">
        <v>0.6</v>
      </c>
      <c r="C168" s="94">
        <v>0.8</v>
      </c>
      <c r="D168" s="94">
        <v>1</v>
      </c>
      <c r="E168" s="94">
        <v>1.2</v>
      </c>
      <c r="F168" s="94">
        <v>1.4</v>
      </c>
      <c r="G168" s="94">
        <v>1.6</v>
      </c>
      <c r="H168" s="94">
        <v>1.8</v>
      </c>
      <c r="I168" s="94">
        <v>2</v>
      </c>
      <c r="J168" s="94">
        <v>2.2000000000000002</v>
      </c>
      <c r="K168" s="94">
        <v>2.4</v>
      </c>
      <c r="L168" s="94">
        <v>2.6</v>
      </c>
      <c r="M168" s="94">
        <v>2.8</v>
      </c>
      <c r="N168" s="94">
        <v>3</v>
      </c>
      <c r="O168" s="94">
        <v>3.2</v>
      </c>
      <c r="P168" s="94">
        <v>3.4</v>
      </c>
      <c r="Q168" s="94">
        <v>3.6</v>
      </c>
      <c r="R168" s="94">
        <v>3.8</v>
      </c>
      <c r="S168" s="94">
        <v>4</v>
      </c>
      <c r="U168" s="80" t="s">
        <v>602</v>
      </c>
      <c r="V168" s="80" t="s">
        <v>801</v>
      </c>
      <c r="W168" t="str">
        <f t="shared" si="29"/>
        <v>VPF43_125_110_DIAL</v>
      </c>
      <c r="X168" t="str">
        <f>"{=INDEX(" &amp; W168 &amp; ",MATCH(MIN(ABS(" &amp; W169 &amp; "-C8)),ABS(" &amp; W169 &amp; "-C8),0))}"</f>
        <v>{=INDEX(VPF43_125_110_DIAL,MATCH(MIN(ABS(VPF43_125_110_LH-C8)),ABS(VPF43_125_110_LH-C8),0))}</v>
      </c>
    </row>
    <row r="169" spans="1:24" x14ac:dyDescent="0.2">
      <c r="B169" s="94">
        <v>18500</v>
      </c>
      <c r="C169" s="94">
        <v>23600</v>
      </c>
      <c r="D169" s="94">
        <v>28500</v>
      </c>
      <c r="E169" s="94">
        <v>33300</v>
      </c>
      <c r="F169" s="94">
        <v>38000</v>
      </c>
      <c r="G169" s="94">
        <v>42600</v>
      </c>
      <c r="H169" s="94">
        <v>47100</v>
      </c>
      <c r="I169" s="94">
        <v>51500</v>
      </c>
      <c r="J169" s="94">
        <v>55900</v>
      </c>
      <c r="K169" s="94">
        <v>60400</v>
      </c>
      <c r="L169" s="94">
        <v>65000</v>
      </c>
      <c r="M169" s="94">
        <v>69800</v>
      </c>
      <c r="N169" s="94">
        <v>75000</v>
      </c>
      <c r="O169" s="94">
        <v>80600</v>
      </c>
      <c r="P169" s="94">
        <v>86700</v>
      </c>
      <c r="Q169" s="94">
        <v>93600</v>
      </c>
      <c r="R169" s="94">
        <v>101300</v>
      </c>
      <c r="S169" s="94">
        <v>110000</v>
      </c>
      <c r="U169" s="80" t="s">
        <v>601</v>
      </c>
      <c r="V169" s="80" t="s">
        <v>801</v>
      </c>
      <c r="W169" t="str">
        <f t="shared" si="29"/>
        <v>VPF43_125_110_LH</v>
      </c>
    </row>
    <row r="171" spans="1:24" x14ac:dyDescent="0.2">
      <c r="A171" s="96" t="s">
        <v>854</v>
      </c>
      <c r="B171" s="97"/>
      <c r="C171" s="97"/>
    </row>
    <row r="172" spans="1:24" x14ac:dyDescent="0.2">
      <c r="A172">
        <v>0.5</v>
      </c>
      <c r="B172" s="94">
        <v>0.6</v>
      </c>
      <c r="C172" s="94">
        <v>0.8</v>
      </c>
      <c r="D172" s="94">
        <v>1</v>
      </c>
      <c r="E172" s="94">
        <v>1.2</v>
      </c>
      <c r="F172" s="94">
        <v>1.4</v>
      </c>
      <c r="G172" s="94">
        <v>1.6</v>
      </c>
      <c r="H172" s="94">
        <v>1.8</v>
      </c>
      <c r="I172" s="94">
        <v>2</v>
      </c>
      <c r="J172" s="94">
        <v>2.2000000000000002</v>
      </c>
      <c r="K172" s="94">
        <v>2.4</v>
      </c>
      <c r="L172" s="94">
        <v>2.6</v>
      </c>
      <c r="M172" s="94">
        <v>2.8</v>
      </c>
      <c r="N172" s="94">
        <v>3</v>
      </c>
      <c r="O172" s="94">
        <v>3.2</v>
      </c>
      <c r="P172" s="94">
        <v>3.4</v>
      </c>
      <c r="Q172" s="94">
        <v>3.6</v>
      </c>
      <c r="R172" s="94">
        <v>3.8</v>
      </c>
      <c r="S172" s="94">
        <v>4</v>
      </c>
      <c r="U172" s="80" t="s">
        <v>602</v>
      </c>
      <c r="V172" s="80" t="s">
        <v>802</v>
      </c>
      <c r="W172" t="str">
        <f t="shared" ref="W172:W173" si="30">V172&amp;U172</f>
        <v>VPF43_125_135_DIAL</v>
      </c>
      <c r="X172" t="str">
        <f>"{=INDEX(" &amp; W172 &amp; ",MATCH(MIN(ABS(" &amp; W173 &amp; "-C8)),ABS(" &amp; W173 &amp; "-C8),0))}"</f>
        <v>{=INDEX(VPF43_125_135_DIAL,MATCH(MIN(ABS(VPF43_125_135_LH-C8)),ABS(VPF43_125_135_LH-C8),0))}</v>
      </c>
    </row>
    <row r="173" spans="1:24" x14ac:dyDescent="0.2">
      <c r="B173" s="94">
        <v>23000</v>
      </c>
      <c r="C173" s="94">
        <v>29900</v>
      </c>
      <c r="D173" s="94">
        <v>36500</v>
      </c>
      <c r="E173" s="94">
        <v>42800</v>
      </c>
      <c r="F173" s="94">
        <v>48700</v>
      </c>
      <c r="G173" s="94">
        <v>54500</v>
      </c>
      <c r="H173" s="94">
        <v>60000</v>
      </c>
      <c r="I173" s="94">
        <v>65500</v>
      </c>
      <c r="J173" s="94">
        <v>70900</v>
      </c>
      <c r="K173" s="94">
        <v>76400</v>
      </c>
      <c r="L173" s="94">
        <v>82000</v>
      </c>
      <c r="M173" s="94">
        <v>87800</v>
      </c>
      <c r="N173" s="94">
        <v>94000</v>
      </c>
      <c r="O173" s="94">
        <v>100700</v>
      </c>
      <c r="P173" s="94">
        <v>108000</v>
      </c>
      <c r="Q173" s="94">
        <v>116000</v>
      </c>
      <c r="R173" s="94">
        <v>125000</v>
      </c>
      <c r="S173" s="94">
        <v>135000</v>
      </c>
      <c r="U173" s="80" t="s">
        <v>601</v>
      </c>
      <c r="V173" s="80" t="s">
        <v>802</v>
      </c>
      <c r="W173" t="str">
        <f t="shared" si="30"/>
        <v>VPF43_125_135_LH</v>
      </c>
    </row>
    <row r="175" spans="1:24" x14ac:dyDescent="0.2">
      <c r="A175" s="213" t="s">
        <v>859</v>
      </c>
      <c r="B175" s="97"/>
      <c r="C175" s="97"/>
      <c r="W175" t="s">
        <v>853</v>
      </c>
    </row>
    <row r="176" spans="1:24" x14ac:dyDescent="0.2">
      <c r="A176">
        <v>0.5</v>
      </c>
      <c r="B176">
        <v>0.6</v>
      </c>
      <c r="C176">
        <v>0.8</v>
      </c>
      <c r="D176">
        <v>1</v>
      </c>
      <c r="E176">
        <v>1.2</v>
      </c>
      <c r="F176">
        <v>1.4</v>
      </c>
      <c r="G176">
        <v>1.6</v>
      </c>
      <c r="H176">
        <v>1.8</v>
      </c>
      <c r="I176">
        <v>2</v>
      </c>
      <c r="J176">
        <v>2.2000000000000002</v>
      </c>
      <c r="K176">
        <v>2.4</v>
      </c>
      <c r="L176">
        <v>2.6</v>
      </c>
      <c r="M176">
        <v>2.8</v>
      </c>
      <c r="N176">
        <v>3</v>
      </c>
      <c r="O176">
        <v>3.2</v>
      </c>
      <c r="P176">
        <v>3.4</v>
      </c>
      <c r="Q176">
        <v>3.6</v>
      </c>
      <c r="R176">
        <v>3.8</v>
      </c>
      <c r="S176">
        <v>4</v>
      </c>
      <c r="U176" t="s">
        <v>602</v>
      </c>
      <c r="V176" s="80" t="s">
        <v>856</v>
      </c>
      <c r="W176" t="str">
        <f t="shared" ref="W176:W177" si="31">V176&amp;U176</f>
        <v>VPF43_150_148_DIAL</v>
      </c>
      <c r="X176" t="str">
        <f>"{=INDEX(" &amp; W176 &amp; ",MATCH(MIN(ABS(" &amp; W177 &amp; "-C8)),ABS(" &amp; W177 &amp; "-C8),0))}"</f>
        <v>{=INDEX(VPF43_150_148_DIAL,MATCH(MIN(ABS(VPF43_150_148_LH-C8)),ABS(VPF43_150_148_LH-C8),0))}</v>
      </c>
    </row>
    <row r="177" spans="1:24" x14ac:dyDescent="0.2">
      <c r="B177">
        <v>25600</v>
      </c>
      <c r="C177">
        <v>32600</v>
      </c>
      <c r="D177">
        <v>39200</v>
      </c>
      <c r="E177">
        <v>45600</v>
      </c>
      <c r="F177">
        <v>51800</v>
      </c>
      <c r="G177">
        <v>58000</v>
      </c>
      <c r="H177">
        <v>64100</v>
      </c>
      <c r="I177">
        <v>70400</v>
      </c>
      <c r="J177">
        <v>76800</v>
      </c>
      <c r="K177">
        <v>83400</v>
      </c>
      <c r="L177">
        <v>90300</v>
      </c>
      <c r="M177">
        <v>97500</v>
      </c>
      <c r="N177">
        <v>105000</v>
      </c>
      <c r="O177">
        <v>112900</v>
      </c>
      <c r="P177">
        <v>121100</v>
      </c>
      <c r="Q177">
        <v>129700</v>
      </c>
      <c r="R177">
        <v>138700</v>
      </c>
      <c r="S177">
        <v>148000</v>
      </c>
      <c r="U177" t="s">
        <v>601</v>
      </c>
      <c r="V177" s="80" t="s">
        <v>856</v>
      </c>
      <c r="W177" t="str">
        <f t="shared" si="31"/>
        <v>VPF43_150_148_LH</v>
      </c>
    </row>
    <row r="179" spans="1:24" x14ac:dyDescent="0.2">
      <c r="A179" s="213" t="s">
        <v>858</v>
      </c>
      <c r="B179" s="97"/>
      <c r="C179" s="97"/>
    </row>
    <row r="180" spans="1:24" x14ac:dyDescent="0.2">
      <c r="A180">
        <v>0.5</v>
      </c>
      <c r="B180">
        <v>0.6</v>
      </c>
      <c r="C180">
        <v>0.8</v>
      </c>
      <c r="D180">
        <v>1</v>
      </c>
      <c r="E180">
        <v>1.2</v>
      </c>
      <c r="F180">
        <v>1.4</v>
      </c>
      <c r="G180">
        <v>1.6</v>
      </c>
      <c r="H180">
        <v>1.8</v>
      </c>
      <c r="I180">
        <v>2</v>
      </c>
      <c r="J180">
        <v>2.2000000000000002</v>
      </c>
      <c r="K180">
        <v>2.4</v>
      </c>
      <c r="L180">
        <v>2.6</v>
      </c>
      <c r="M180">
        <v>2.8</v>
      </c>
      <c r="N180">
        <v>3</v>
      </c>
      <c r="O180">
        <v>3.2</v>
      </c>
      <c r="P180">
        <v>3.4</v>
      </c>
      <c r="Q180">
        <v>3.6</v>
      </c>
      <c r="R180">
        <v>3.8</v>
      </c>
      <c r="S180">
        <v>4</v>
      </c>
      <c r="U180" t="s">
        <v>602</v>
      </c>
      <c r="V180" s="80" t="s">
        <v>857</v>
      </c>
      <c r="W180" t="str">
        <f t="shared" ref="W180:W181" si="32">V180&amp;U180</f>
        <v>VPF43_150_195_DIAL</v>
      </c>
      <c r="X180" t="str">
        <f>"{=INDEX(" &amp; W180 &amp; ",MATCH(MIN(ABS(" &amp; W181 &amp; "-C8)),ABS(" &amp; W181 &amp; "-C8),0))}"</f>
        <v>{=INDEX(VPF43_150_195_DIAL,MATCH(MIN(ABS(VPF43_150_195_LH-C8)),ABS(VPF43_150_195_LH-C8),0))}</v>
      </c>
    </row>
    <row r="181" spans="1:24" x14ac:dyDescent="0.2">
      <c r="B181">
        <v>32000</v>
      </c>
      <c r="C181">
        <v>41300</v>
      </c>
      <c r="D181">
        <v>50000</v>
      </c>
      <c r="E181">
        <v>58200</v>
      </c>
      <c r="F181">
        <v>66000</v>
      </c>
      <c r="G181">
        <v>73700</v>
      </c>
      <c r="H181">
        <v>81300</v>
      </c>
      <c r="I181">
        <v>89000</v>
      </c>
      <c r="J181">
        <v>96900</v>
      </c>
      <c r="K181">
        <v>105200</v>
      </c>
      <c r="L181">
        <v>113900</v>
      </c>
      <c r="M181">
        <v>123100</v>
      </c>
      <c r="N181">
        <v>133000</v>
      </c>
      <c r="O181">
        <v>143600</v>
      </c>
      <c r="P181">
        <v>155100</v>
      </c>
      <c r="Q181">
        <v>167400</v>
      </c>
      <c r="R181">
        <v>180700</v>
      </c>
      <c r="S181">
        <v>195000</v>
      </c>
      <c r="U181" t="s">
        <v>601</v>
      </c>
      <c r="V181" s="80" t="s">
        <v>857</v>
      </c>
      <c r="W181" t="str">
        <f t="shared" si="32"/>
        <v>VPF43_150_195_LH</v>
      </c>
    </row>
    <row r="183" spans="1:24" x14ac:dyDescent="0.2">
      <c r="A183" s="216" t="s">
        <v>750</v>
      </c>
      <c r="B183" s="217"/>
      <c r="C183" s="217"/>
    </row>
    <row r="184" spans="1:24" x14ac:dyDescent="0.2">
      <c r="B184">
        <v>0.6</v>
      </c>
      <c r="C184">
        <v>0.8</v>
      </c>
      <c r="D184">
        <v>1</v>
      </c>
      <c r="E184">
        <v>1.2</v>
      </c>
      <c r="F184">
        <v>1.4</v>
      </c>
      <c r="G184">
        <v>1.6</v>
      </c>
      <c r="H184">
        <v>1.8</v>
      </c>
      <c r="I184">
        <v>2</v>
      </c>
      <c r="J184">
        <v>2.2000000000000002</v>
      </c>
      <c r="K184">
        <v>2.4</v>
      </c>
      <c r="L184">
        <v>2.6</v>
      </c>
      <c r="M184">
        <v>2.8</v>
      </c>
      <c r="N184">
        <v>3</v>
      </c>
      <c r="O184">
        <v>3.2</v>
      </c>
      <c r="P184">
        <v>3.4</v>
      </c>
      <c r="Q184">
        <v>3.6</v>
      </c>
      <c r="R184">
        <v>3.8</v>
      </c>
      <c r="S184">
        <v>4</v>
      </c>
      <c r="U184" s="80" t="s">
        <v>602</v>
      </c>
      <c r="V184" s="80" t="s">
        <v>687</v>
      </c>
      <c r="W184" t="str">
        <f t="shared" ref="W184:W185" si="33">V184&amp;U184</f>
        <v>VPF53_50_16_DIAL</v>
      </c>
      <c r="X184" t="str">
        <f>"{=INDEX(" &amp; W184 &amp; ",MATCH(MIN(ABS(" &amp; W185 &amp; "-C8)),ABS(" &amp; W185 &amp; "-C8),0))}"</f>
        <v>{=INDEX(VPF53_50_16_DIAL,MATCH(MIN(ABS(VPF53_50_16_LH-C8)),ABS(VPF53_50_16_LH-C8),0))}</v>
      </c>
    </row>
    <row r="185" spans="1:24" x14ac:dyDescent="0.2">
      <c r="B185">
        <v>2500</v>
      </c>
      <c r="C185">
        <v>3200</v>
      </c>
      <c r="D185">
        <v>3900</v>
      </c>
      <c r="E185">
        <v>4500</v>
      </c>
      <c r="F185">
        <v>5100</v>
      </c>
      <c r="G185">
        <v>5700</v>
      </c>
      <c r="H185">
        <v>6300</v>
      </c>
      <c r="I185">
        <v>6900</v>
      </c>
      <c r="J185">
        <v>7500</v>
      </c>
      <c r="K185">
        <v>8100</v>
      </c>
      <c r="L185">
        <v>8800</v>
      </c>
      <c r="M185">
        <v>9500</v>
      </c>
      <c r="N185">
        <v>10200</v>
      </c>
      <c r="O185">
        <v>11000</v>
      </c>
      <c r="P185">
        <v>11900</v>
      </c>
      <c r="Q185">
        <v>12800</v>
      </c>
      <c r="R185">
        <v>13900</v>
      </c>
      <c r="S185">
        <v>15000</v>
      </c>
      <c r="U185" s="80" t="s">
        <v>601</v>
      </c>
      <c r="V185" s="80" t="s">
        <v>687</v>
      </c>
      <c r="W185" t="str">
        <f t="shared" si="33"/>
        <v>VPF53_50_16_LH</v>
      </c>
    </row>
    <row r="187" spans="1:24" x14ac:dyDescent="0.2">
      <c r="A187" s="216" t="s">
        <v>751</v>
      </c>
      <c r="B187" s="217"/>
      <c r="C187" s="217"/>
    </row>
    <row r="188" spans="1:24" x14ac:dyDescent="0.2">
      <c r="B188">
        <v>0.6</v>
      </c>
      <c r="C188">
        <v>0.8</v>
      </c>
      <c r="D188">
        <v>1</v>
      </c>
      <c r="E188">
        <v>1.2</v>
      </c>
      <c r="F188">
        <v>1.4</v>
      </c>
      <c r="G188">
        <v>1.6</v>
      </c>
      <c r="H188">
        <v>1.8</v>
      </c>
      <c r="I188">
        <v>2</v>
      </c>
      <c r="J188">
        <v>2.2000000000000002</v>
      </c>
      <c r="K188">
        <v>2.4</v>
      </c>
      <c r="L188">
        <v>2.6</v>
      </c>
      <c r="M188">
        <v>2.8</v>
      </c>
      <c r="N188">
        <v>3</v>
      </c>
      <c r="O188">
        <v>3.2</v>
      </c>
      <c r="P188">
        <v>3.4</v>
      </c>
      <c r="Q188">
        <v>3.6</v>
      </c>
      <c r="R188">
        <v>3.8</v>
      </c>
      <c r="S188">
        <v>4</v>
      </c>
      <c r="U188" s="80" t="s">
        <v>602</v>
      </c>
      <c r="V188" s="80" t="s">
        <v>690</v>
      </c>
      <c r="W188" t="str">
        <f t="shared" ref="W188:W189" si="34">V188&amp;U188</f>
        <v>VPF53_50_25_DIAL</v>
      </c>
      <c r="X188" t="str">
        <f>"{=INDEX(" &amp; W188 &amp; ",MATCH(MIN(ABS(" &amp; W189 &amp; "-C8)),ABS(" &amp; W189 &amp; "-C8),0))}"</f>
        <v>{=INDEX(VPF53_50_25_DIAL,MATCH(MIN(ABS(VPF53_50_25_LH-C8)),ABS(VPF53_50_25_LH-C8),0))}</v>
      </c>
    </row>
    <row r="189" spans="1:24" x14ac:dyDescent="0.2">
      <c r="B189">
        <v>3900</v>
      </c>
      <c r="C189">
        <v>5100</v>
      </c>
      <c r="D189">
        <v>6200</v>
      </c>
      <c r="E189">
        <v>7200</v>
      </c>
      <c r="F189">
        <v>8200</v>
      </c>
      <c r="G189">
        <v>9200</v>
      </c>
      <c r="H189">
        <v>10200</v>
      </c>
      <c r="I189">
        <v>11200</v>
      </c>
      <c r="J189">
        <v>12200</v>
      </c>
      <c r="K189">
        <v>13200</v>
      </c>
      <c r="L189">
        <v>14300</v>
      </c>
      <c r="M189">
        <v>15400</v>
      </c>
      <c r="N189">
        <v>16600</v>
      </c>
      <c r="O189">
        <v>17900</v>
      </c>
      <c r="P189">
        <v>19200</v>
      </c>
      <c r="Q189">
        <v>20700</v>
      </c>
      <c r="R189">
        <v>22300</v>
      </c>
      <c r="S189">
        <v>24000</v>
      </c>
      <c r="U189" s="80" t="s">
        <v>601</v>
      </c>
      <c r="V189" s="80" t="s">
        <v>690</v>
      </c>
      <c r="W189" t="str">
        <f t="shared" si="34"/>
        <v>VPF53_50_25_LH</v>
      </c>
    </row>
    <row r="191" spans="1:24" x14ac:dyDescent="0.2">
      <c r="A191" s="93" t="s">
        <v>752</v>
      </c>
    </row>
    <row r="192" spans="1:24" x14ac:dyDescent="0.2">
      <c r="A192">
        <v>0.5</v>
      </c>
      <c r="B192">
        <v>0.6</v>
      </c>
      <c r="C192">
        <v>0.8</v>
      </c>
      <c r="D192">
        <v>1</v>
      </c>
      <c r="E192">
        <v>1.2</v>
      </c>
      <c r="F192">
        <v>1.4</v>
      </c>
      <c r="G192">
        <v>1.6</v>
      </c>
      <c r="H192">
        <v>1.8</v>
      </c>
      <c r="I192">
        <v>2</v>
      </c>
      <c r="J192">
        <v>2.2000000000000002</v>
      </c>
      <c r="K192">
        <v>2.4</v>
      </c>
      <c r="L192">
        <v>2.6</v>
      </c>
      <c r="M192">
        <v>2.8</v>
      </c>
      <c r="N192">
        <v>3</v>
      </c>
      <c r="O192">
        <v>3.2</v>
      </c>
      <c r="P192">
        <v>3.4</v>
      </c>
      <c r="Q192">
        <v>3.6</v>
      </c>
      <c r="R192">
        <v>3.8</v>
      </c>
      <c r="S192">
        <v>4</v>
      </c>
      <c r="U192" s="80" t="s">
        <v>602</v>
      </c>
      <c r="V192" s="80" t="s">
        <v>688</v>
      </c>
      <c r="W192" t="str">
        <f t="shared" ref="W192:W193" si="35">V192&amp;U192</f>
        <v>VPF53_65_24_DIAL</v>
      </c>
      <c r="X192" t="str">
        <f>"{=INDEX(" &amp; W192 &amp; ",MATCH(MIN(ABS(" &amp; W193 &amp; "-C8)),ABS(" &amp; W193 &amp; "-C8),0))}"</f>
        <v>{=INDEX(VPF53_65_24_DIAL,MATCH(MIN(ABS(VPF53_65_24_LH-C8)),ABS(VPF53_65_24_LH-C8),0))}</v>
      </c>
    </row>
    <row r="193" spans="1:24" x14ac:dyDescent="0.2">
      <c r="B193">
        <v>4400</v>
      </c>
      <c r="C193">
        <v>5600</v>
      </c>
      <c r="D193">
        <v>6600</v>
      </c>
      <c r="E193">
        <v>7700</v>
      </c>
      <c r="F193">
        <v>8600</v>
      </c>
      <c r="G193">
        <v>9600</v>
      </c>
      <c r="H193">
        <v>10500</v>
      </c>
      <c r="I193">
        <v>11500</v>
      </c>
      <c r="J193">
        <v>12500</v>
      </c>
      <c r="K193">
        <v>13500</v>
      </c>
      <c r="L193">
        <v>14700</v>
      </c>
      <c r="M193">
        <v>15800</v>
      </c>
      <c r="N193">
        <v>17100</v>
      </c>
      <c r="O193">
        <v>18500</v>
      </c>
      <c r="P193">
        <v>19900</v>
      </c>
      <c r="Q193">
        <v>21500</v>
      </c>
      <c r="R193">
        <v>23200</v>
      </c>
      <c r="S193">
        <v>25000</v>
      </c>
      <c r="U193" s="80" t="s">
        <v>601</v>
      </c>
      <c r="V193" s="80" t="s">
        <v>688</v>
      </c>
      <c r="W193" t="str">
        <f t="shared" si="35"/>
        <v>VPF53_65_24_LH</v>
      </c>
    </row>
    <row r="195" spans="1:24" x14ac:dyDescent="0.2">
      <c r="A195" s="93" t="s">
        <v>753</v>
      </c>
    </row>
    <row r="196" spans="1:24" x14ac:dyDescent="0.2">
      <c r="A196">
        <v>0.5</v>
      </c>
      <c r="B196">
        <v>0.6</v>
      </c>
      <c r="C196">
        <v>0.8</v>
      </c>
      <c r="D196">
        <v>1</v>
      </c>
      <c r="E196">
        <v>1.2</v>
      </c>
      <c r="F196">
        <v>1.4</v>
      </c>
      <c r="G196">
        <v>1.6</v>
      </c>
      <c r="H196">
        <v>1.8</v>
      </c>
      <c r="I196">
        <v>2</v>
      </c>
      <c r="J196">
        <v>2.2000000000000002</v>
      </c>
      <c r="K196">
        <v>2.4</v>
      </c>
      <c r="L196">
        <v>2.6</v>
      </c>
      <c r="M196">
        <v>2.8</v>
      </c>
      <c r="N196">
        <v>3</v>
      </c>
      <c r="O196">
        <v>3.2</v>
      </c>
      <c r="P196">
        <v>3.4</v>
      </c>
      <c r="Q196">
        <v>3.6</v>
      </c>
      <c r="R196">
        <v>3.8</v>
      </c>
      <c r="S196">
        <v>4</v>
      </c>
      <c r="U196" s="80" t="s">
        <v>602</v>
      </c>
      <c r="V196" s="80" t="s">
        <v>691</v>
      </c>
      <c r="W196" t="str">
        <f t="shared" ref="W196:W197" si="36">V196&amp;U196</f>
        <v>VPF53_65_35_DIAL</v>
      </c>
      <c r="X196" t="str">
        <f>"{=INDEX(" &amp; W196 &amp; ",MATCH(MIN(ABS(" &amp; W197 &amp; "-C8)),ABS(" &amp; W197 &amp; "-C8),0))}"</f>
        <v>{=INDEX(VPF53_65_35_DIAL,MATCH(MIN(ABS(VPF53_65_35_LH-C8)),ABS(VPF53_65_35_LH-C8),0))}</v>
      </c>
    </row>
    <row r="197" spans="1:24" x14ac:dyDescent="0.2">
      <c r="B197">
        <v>6000</v>
      </c>
      <c r="C197">
        <v>7600</v>
      </c>
      <c r="D197">
        <v>9100</v>
      </c>
      <c r="E197">
        <v>10500</v>
      </c>
      <c r="F197">
        <v>11900</v>
      </c>
      <c r="G197">
        <v>13300</v>
      </c>
      <c r="H197">
        <v>14700</v>
      </c>
      <c r="I197">
        <v>16000</v>
      </c>
      <c r="J197">
        <v>17500</v>
      </c>
      <c r="K197">
        <v>19000</v>
      </c>
      <c r="L197">
        <v>20600</v>
      </c>
      <c r="M197">
        <v>22300</v>
      </c>
      <c r="N197">
        <v>24100</v>
      </c>
      <c r="O197">
        <v>26000</v>
      </c>
      <c r="P197">
        <v>28000</v>
      </c>
      <c r="Q197">
        <v>30200</v>
      </c>
      <c r="R197">
        <v>32500</v>
      </c>
      <c r="S197">
        <v>35000</v>
      </c>
      <c r="U197" s="80" t="s">
        <v>601</v>
      </c>
      <c r="V197" s="80" t="s">
        <v>691</v>
      </c>
      <c r="W197" t="str">
        <f t="shared" si="36"/>
        <v>VPF53_65_35_LH</v>
      </c>
    </row>
    <row r="199" spans="1:24" x14ac:dyDescent="0.2">
      <c r="A199" s="93" t="s">
        <v>754</v>
      </c>
    </row>
    <row r="200" spans="1:24" x14ac:dyDescent="0.2">
      <c r="A200">
        <v>0.5</v>
      </c>
      <c r="B200">
        <v>0.6</v>
      </c>
      <c r="C200">
        <v>0.8</v>
      </c>
      <c r="D200">
        <v>1</v>
      </c>
      <c r="E200">
        <v>1.2</v>
      </c>
      <c r="F200">
        <v>1.4</v>
      </c>
      <c r="G200">
        <v>1.6</v>
      </c>
      <c r="H200">
        <v>1.8</v>
      </c>
      <c r="I200">
        <v>2</v>
      </c>
      <c r="J200">
        <v>2.2000000000000002</v>
      </c>
      <c r="K200">
        <v>2.4</v>
      </c>
      <c r="L200">
        <v>2.6</v>
      </c>
      <c r="M200">
        <v>2.8</v>
      </c>
      <c r="N200">
        <v>3</v>
      </c>
      <c r="O200">
        <v>3.2</v>
      </c>
      <c r="P200">
        <v>3.4</v>
      </c>
      <c r="Q200">
        <v>3.6</v>
      </c>
      <c r="R200">
        <v>3.8</v>
      </c>
      <c r="S200">
        <v>4</v>
      </c>
      <c r="U200" s="80" t="s">
        <v>602</v>
      </c>
      <c r="V200" s="80" t="s">
        <v>689</v>
      </c>
      <c r="W200" t="str">
        <f t="shared" ref="W200:W201" si="37">V200&amp;U200</f>
        <v>VPF53_80_35_DIAL</v>
      </c>
      <c r="X200" t="str">
        <f>"{=INDEX(" &amp; W200 &amp; ",MATCH(MIN(ABS(" &amp; W201 &amp; "-C8)),ABS(" &amp; W201 &amp; "-C8),0))}"</f>
        <v>{=INDEX(VPF53_80_35_DIAL,MATCH(MIN(ABS(VPF53_80_35_LH-C8)),ABS(VPF53_80_35_LH-C8),0))}</v>
      </c>
    </row>
    <row r="201" spans="1:24" x14ac:dyDescent="0.2">
      <c r="B201">
        <v>5300</v>
      </c>
      <c r="C201">
        <v>6900</v>
      </c>
      <c r="D201">
        <v>8300</v>
      </c>
      <c r="E201">
        <v>9600</v>
      </c>
      <c r="F201">
        <v>10900</v>
      </c>
      <c r="G201">
        <v>12200</v>
      </c>
      <c r="H201">
        <v>13500</v>
      </c>
      <c r="I201">
        <v>14800</v>
      </c>
      <c r="J201">
        <v>16200</v>
      </c>
      <c r="K201">
        <v>17600</v>
      </c>
      <c r="L201">
        <v>19100</v>
      </c>
      <c r="M201">
        <v>20700</v>
      </c>
      <c r="N201">
        <v>22400</v>
      </c>
      <c r="O201">
        <v>24300</v>
      </c>
      <c r="P201">
        <v>26400</v>
      </c>
      <c r="Q201">
        <v>28700</v>
      </c>
      <c r="R201">
        <v>31200</v>
      </c>
      <c r="S201">
        <v>34000</v>
      </c>
      <c r="U201" s="80" t="s">
        <v>601</v>
      </c>
      <c r="V201" s="80" t="s">
        <v>689</v>
      </c>
      <c r="W201" t="str">
        <f t="shared" si="37"/>
        <v>VPF53_80_35_LH</v>
      </c>
    </row>
    <row r="203" spans="1:24" x14ac:dyDescent="0.2">
      <c r="A203" s="93" t="s">
        <v>755</v>
      </c>
    </row>
    <row r="204" spans="1:24" x14ac:dyDescent="0.2">
      <c r="A204">
        <v>0.5</v>
      </c>
      <c r="B204">
        <v>0.6</v>
      </c>
      <c r="C204">
        <v>0.8</v>
      </c>
      <c r="D204">
        <v>1</v>
      </c>
      <c r="E204">
        <v>1.2</v>
      </c>
      <c r="F204">
        <v>1.4</v>
      </c>
      <c r="G204">
        <v>1.6</v>
      </c>
      <c r="H204">
        <v>1.8</v>
      </c>
      <c r="I204">
        <v>2</v>
      </c>
      <c r="J204">
        <v>2.2000000000000002</v>
      </c>
      <c r="K204">
        <v>2.4</v>
      </c>
      <c r="L204">
        <v>2.6</v>
      </c>
      <c r="M204">
        <v>2.8</v>
      </c>
      <c r="N204">
        <v>3</v>
      </c>
      <c r="O204">
        <v>3.2</v>
      </c>
      <c r="P204">
        <v>3.4</v>
      </c>
      <c r="Q204">
        <v>3.6</v>
      </c>
      <c r="R204">
        <v>3.8</v>
      </c>
      <c r="S204">
        <v>4</v>
      </c>
      <c r="U204" s="80" t="s">
        <v>602</v>
      </c>
      <c r="V204" s="80" t="s">
        <v>692</v>
      </c>
      <c r="W204" t="str">
        <f t="shared" ref="W204:W205" si="38">V204&amp;U204</f>
        <v>VPF53_80_45_DIAL</v>
      </c>
      <c r="X204" t="str">
        <f>"{=INDEX(" &amp; W204 &amp; ",MATCH(MIN(ABS(" &amp; W205 &amp; "-C8)),ABS(" &amp; W205 &amp; "-C8),0))}"</f>
        <v>{=INDEX(VPF53_80_45_DIAL,MATCH(MIN(ABS(VPF53_80_45_LH-C8)),ABS(VPF53_80_45_LH-C8),0))}</v>
      </c>
    </row>
    <row r="205" spans="1:24" x14ac:dyDescent="0.2">
      <c r="B205">
        <v>7000</v>
      </c>
      <c r="C205">
        <v>9000</v>
      </c>
      <c r="D205">
        <v>11000</v>
      </c>
      <c r="E205">
        <v>12800</v>
      </c>
      <c r="F205">
        <v>14500</v>
      </c>
      <c r="G205">
        <v>16200</v>
      </c>
      <c r="H205">
        <v>18000</v>
      </c>
      <c r="I205">
        <v>19600</v>
      </c>
      <c r="J205">
        <v>21400</v>
      </c>
      <c r="K205">
        <v>23200</v>
      </c>
      <c r="L205">
        <v>25100</v>
      </c>
      <c r="M205">
        <v>27100</v>
      </c>
      <c r="N205">
        <v>29300</v>
      </c>
      <c r="O205">
        <v>31600</v>
      </c>
      <c r="P205">
        <v>34100</v>
      </c>
      <c r="Q205">
        <v>36800</v>
      </c>
      <c r="R205">
        <v>39800</v>
      </c>
      <c r="S205">
        <v>43000</v>
      </c>
      <c r="U205" s="80" t="s">
        <v>601</v>
      </c>
      <c r="V205" s="80" t="s">
        <v>692</v>
      </c>
      <c r="W205" t="str">
        <f t="shared" si="38"/>
        <v>VPF53_80_45_LH</v>
      </c>
    </row>
    <row r="207" spans="1:24" x14ac:dyDescent="0.2">
      <c r="A207" s="214" t="s">
        <v>756</v>
      </c>
      <c r="B207" s="94"/>
      <c r="C207" s="94"/>
    </row>
    <row r="208" spans="1:24" x14ac:dyDescent="0.2">
      <c r="A208">
        <v>0.5</v>
      </c>
      <c r="B208">
        <v>0.6</v>
      </c>
      <c r="C208">
        <v>0.8</v>
      </c>
      <c r="D208">
        <v>1</v>
      </c>
      <c r="E208">
        <v>1.2</v>
      </c>
      <c r="F208">
        <v>1.4</v>
      </c>
      <c r="G208">
        <v>1.6</v>
      </c>
      <c r="H208">
        <v>1.8</v>
      </c>
      <c r="I208">
        <v>2</v>
      </c>
      <c r="J208">
        <v>2.2000000000000002</v>
      </c>
      <c r="K208">
        <v>2.4</v>
      </c>
      <c r="L208">
        <v>2.6</v>
      </c>
      <c r="M208">
        <v>2.8</v>
      </c>
      <c r="N208">
        <v>3</v>
      </c>
      <c r="O208">
        <v>3.2</v>
      </c>
      <c r="P208">
        <v>3.4</v>
      </c>
      <c r="Q208">
        <v>3.6</v>
      </c>
      <c r="R208">
        <v>3.8</v>
      </c>
      <c r="S208">
        <v>4</v>
      </c>
      <c r="U208" s="80" t="s">
        <v>602</v>
      </c>
      <c r="V208" s="80" t="s">
        <v>759</v>
      </c>
      <c r="W208" t="str">
        <f t="shared" ref="W208:W209" si="39">V208&amp;U208</f>
        <v>VPF53_100_70_DIAL</v>
      </c>
      <c r="X208" t="str">
        <f>"{=INDEX(" &amp; W208 &amp; ",MATCH(MIN(ABS(" &amp; W209 &amp; "-C8)),ABS(" &amp; W209 &amp; "-C8),0))}"</f>
        <v>{=INDEX(VPF53_100_70_DIAL,MATCH(MIN(ABS(VPF53_100_70_LH-C8)),ABS(VPF53_100_70_LH-C8),0))}</v>
      </c>
    </row>
    <row r="209" spans="1:24" x14ac:dyDescent="0.2">
      <c r="B209">
        <v>12100</v>
      </c>
      <c r="C209">
        <v>15300</v>
      </c>
      <c r="D209">
        <v>18100</v>
      </c>
      <c r="E209">
        <v>20800</v>
      </c>
      <c r="F209">
        <v>23200</v>
      </c>
      <c r="G209">
        <v>25500</v>
      </c>
      <c r="H209">
        <v>27800</v>
      </c>
      <c r="I209">
        <v>30000</v>
      </c>
      <c r="J209">
        <v>32400</v>
      </c>
      <c r="K209">
        <v>34900</v>
      </c>
      <c r="L209">
        <v>37600</v>
      </c>
      <c r="M209">
        <v>40600</v>
      </c>
      <c r="N209">
        <v>44000</v>
      </c>
      <c r="O209">
        <v>47700</v>
      </c>
      <c r="P209">
        <v>51900</v>
      </c>
      <c r="Q209">
        <v>56700</v>
      </c>
      <c r="R209">
        <v>62000</v>
      </c>
      <c r="S209">
        <v>68000</v>
      </c>
      <c r="U209" s="80" t="s">
        <v>601</v>
      </c>
      <c r="V209" s="80" t="s">
        <v>759</v>
      </c>
      <c r="W209" t="str">
        <f t="shared" si="39"/>
        <v>VPF53_100_70_LH</v>
      </c>
    </row>
    <row r="211" spans="1:24" x14ac:dyDescent="0.2">
      <c r="A211" s="214" t="s">
        <v>757</v>
      </c>
      <c r="B211" s="94"/>
      <c r="C211" s="94"/>
    </row>
    <row r="212" spans="1:24" x14ac:dyDescent="0.2">
      <c r="A212" s="94">
        <v>0.5</v>
      </c>
      <c r="B212" s="94">
        <v>0.6</v>
      </c>
      <c r="C212" s="94">
        <v>0.8</v>
      </c>
      <c r="D212">
        <v>1</v>
      </c>
      <c r="E212">
        <v>1.2</v>
      </c>
      <c r="F212">
        <v>1.4</v>
      </c>
      <c r="G212">
        <v>1.6</v>
      </c>
      <c r="H212">
        <v>1.8</v>
      </c>
      <c r="I212">
        <v>2</v>
      </c>
      <c r="J212">
        <v>2.2000000000000002</v>
      </c>
      <c r="K212">
        <v>2.4</v>
      </c>
      <c r="L212">
        <v>2.6</v>
      </c>
      <c r="M212">
        <v>2.8</v>
      </c>
      <c r="N212">
        <v>3</v>
      </c>
      <c r="O212">
        <v>3.2</v>
      </c>
      <c r="P212">
        <v>3.4</v>
      </c>
      <c r="Q212">
        <v>3.6</v>
      </c>
      <c r="R212">
        <v>3.8</v>
      </c>
      <c r="S212">
        <v>4</v>
      </c>
      <c r="U212" s="80" t="s">
        <v>602</v>
      </c>
      <c r="V212" s="80" t="s">
        <v>760</v>
      </c>
      <c r="W212" t="str">
        <f t="shared" ref="W212:W213" si="40">V212&amp;U212</f>
        <v>VPF53_100_90_DIAL</v>
      </c>
      <c r="X212" t="str">
        <f>"{=INDEX(" &amp; W212 &amp; ",MATCH(MIN(ABS(" &amp; W213 &amp; "-C8)),ABS(" &amp; W213 &amp; "-C8),0))}"</f>
        <v>{=INDEX(VPF53_100_90_DIAL,MATCH(MIN(ABS(VPF53_100_90_LH-C8)),ABS(VPF53_100_90_LH-C8),0))}</v>
      </c>
    </row>
    <row r="213" spans="1:24" x14ac:dyDescent="0.2">
      <c r="B213">
        <v>14800</v>
      </c>
      <c r="C213">
        <v>18900</v>
      </c>
      <c r="D213">
        <v>22600</v>
      </c>
      <c r="E213">
        <v>26000</v>
      </c>
      <c r="F213">
        <v>29100</v>
      </c>
      <c r="G213">
        <v>32100</v>
      </c>
      <c r="H213">
        <v>35100</v>
      </c>
      <c r="I213">
        <v>38100</v>
      </c>
      <c r="J213">
        <v>41200</v>
      </c>
      <c r="K213">
        <v>44500</v>
      </c>
      <c r="L213">
        <v>48200</v>
      </c>
      <c r="M213">
        <v>52200</v>
      </c>
      <c r="N213">
        <v>56700</v>
      </c>
      <c r="O213">
        <v>61900</v>
      </c>
      <c r="P213">
        <v>67700</v>
      </c>
      <c r="Q213">
        <v>74200</v>
      </c>
      <c r="R213">
        <v>81700</v>
      </c>
      <c r="S213">
        <v>90000</v>
      </c>
      <c r="U213" s="80" t="s">
        <v>601</v>
      </c>
      <c r="V213" s="80" t="s">
        <v>760</v>
      </c>
      <c r="W213" t="str">
        <f t="shared" si="40"/>
        <v>VPF53_100_90_LH</v>
      </c>
    </row>
    <row r="215" spans="1:24" x14ac:dyDescent="0.2">
      <c r="A215" s="96" t="s">
        <v>800</v>
      </c>
      <c r="B215" s="97"/>
      <c r="C215" s="97"/>
      <c r="W215" t="str">
        <f t="shared" ref="W215:W217" si="41">V215&amp;U215</f>
        <v/>
      </c>
    </row>
    <row r="216" spans="1:24" x14ac:dyDescent="0.2">
      <c r="A216">
        <v>0.5</v>
      </c>
      <c r="B216" s="94">
        <v>0.6</v>
      </c>
      <c r="C216" s="94">
        <v>0.8</v>
      </c>
      <c r="D216" s="94">
        <v>1</v>
      </c>
      <c r="E216" s="94">
        <v>1.2</v>
      </c>
      <c r="F216" s="94">
        <v>1.4</v>
      </c>
      <c r="G216" s="94">
        <v>1.6</v>
      </c>
      <c r="H216" s="94">
        <v>1.8</v>
      </c>
      <c r="I216" s="94">
        <v>2</v>
      </c>
      <c r="J216" s="94">
        <v>2.2000000000000002</v>
      </c>
      <c r="K216" s="94">
        <v>2.4</v>
      </c>
      <c r="L216" s="94">
        <v>2.6</v>
      </c>
      <c r="M216" s="94">
        <v>2.8</v>
      </c>
      <c r="N216" s="94">
        <v>3</v>
      </c>
      <c r="O216" s="94">
        <v>3.2</v>
      </c>
      <c r="P216" s="94">
        <v>3.4</v>
      </c>
      <c r="Q216" s="94">
        <v>3.6</v>
      </c>
      <c r="R216" s="94">
        <v>3.8</v>
      </c>
      <c r="S216" s="94">
        <v>4</v>
      </c>
      <c r="U216" s="80" t="s">
        <v>602</v>
      </c>
      <c r="V216" s="80" t="s">
        <v>803</v>
      </c>
      <c r="W216" t="str">
        <f t="shared" si="41"/>
        <v>VPF53_125_110_DIAL</v>
      </c>
      <c r="X216" t="str">
        <f>"{=INDEX(" &amp; W216 &amp; ",MATCH(MIN(ABS(" &amp; W217 &amp; "-C8)),ABS(" &amp; W217 &amp; "-C8),0))}"</f>
        <v>{=INDEX(VPF53_125_110_DIAL,MATCH(MIN(ABS(VPF53_125_110_LH-C8)),ABS(VPF53_125_110_LH-C8),0))}</v>
      </c>
    </row>
    <row r="217" spans="1:24" x14ac:dyDescent="0.2">
      <c r="B217" s="94">
        <v>18500</v>
      </c>
      <c r="C217" s="94">
        <v>23600</v>
      </c>
      <c r="D217" s="94">
        <v>28500</v>
      </c>
      <c r="E217" s="94">
        <v>33300</v>
      </c>
      <c r="F217" s="94">
        <v>38000</v>
      </c>
      <c r="G217" s="94">
        <v>42600</v>
      </c>
      <c r="H217" s="94">
        <v>47100</v>
      </c>
      <c r="I217" s="94">
        <v>51500</v>
      </c>
      <c r="J217" s="94">
        <v>55900</v>
      </c>
      <c r="K217" s="94">
        <v>60400</v>
      </c>
      <c r="L217" s="94">
        <v>65000</v>
      </c>
      <c r="M217" s="94">
        <v>69800</v>
      </c>
      <c r="N217" s="94">
        <v>75000</v>
      </c>
      <c r="O217" s="94">
        <v>80600</v>
      </c>
      <c r="P217" s="94">
        <v>86700</v>
      </c>
      <c r="Q217" s="94">
        <v>93600</v>
      </c>
      <c r="R217" s="94">
        <v>101300</v>
      </c>
      <c r="S217" s="94">
        <v>110000</v>
      </c>
      <c r="U217" s="80" t="s">
        <v>601</v>
      </c>
      <c r="V217" s="80" t="s">
        <v>803</v>
      </c>
      <c r="W217" t="str">
        <f t="shared" si="41"/>
        <v>VPF53_125_110_LH</v>
      </c>
    </row>
    <row r="219" spans="1:24" x14ac:dyDescent="0.2">
      <c r="A219" s="96" t="s">
        <v>855</v>
      </c>
      <c r="B219" s="97"/>
      <c r="C219" s="97"/>
    </row>
    <row r="220" spans="1:24" x14ac:dyDescent="0.2">
      <c r="A220">
        <v>0.5</v>
      </c>
      <c r="B220" s="94">
        <v>0.6</v>
      </c>
      <c r="C220" s="94">
        <v>0.8</v>
      </c>
      <c r="D220" s="94">
        <v>1</v>
      </c>
      <c r="E220" s="94">
        <v>1.2</v>
      </c>
      <c r="F220" s="94">
        <v>1.4</v>
      </c>
      <c r="G220" s="94">
        <v>1.6</v>
      </c>
      <c r="H220" s="94">
        <v>1.8</v>
      </c>
      <c r="I220" s="94">
        <v>2</v>
      </c>
      <c r="J220" s="94">
        <v>2.2000000000000002</v>
      </c>
      <c r="K220" s="94">
        <v>2.4</v>
      </c>
      <c r="L220" s="94">
        <v>2.6</v>
      </c>
      <c r="M220" s="94">
        <v>2.8</v>
      </c>
      <c r="N220" s="94">
        <v>3</v>
      </c>
      <c r="O220" s="94">
        <v>3.2</v>
      </c>
      <c r="P220" s="94">
        <v>3.4</v>
      </c>
      <c r="Q220" s="94">
        <v>3.6</v>
      </c>
      <c r="R220" s="94">
        <v>3.8</v>
      </c>
      <c r="S220" s="94">
        <v>4</v>
      </c>
      <c r="U220" s="80" t="s">
        <v>602</v>
      </c>
      <c r="V220" s="80" t="s">
        <v>804</v>
      </c>
      <c r="W220" t="str">
        <f t="shared" ref="W220:W221" si="42">V220&amp;U220</f>
        <v>VPF53_125_135_DIAL</v>
      </c>
      <c r="X220" t="str">
        <f>"{=INDEX(" &amp; W220 &amp; ",MATCH(MIN(ABS(" &amp; W221 &amp; "-C8)),ABS(" &amp; W221 &amp; "-C8),0))}"</f>
        <v>{=INDEX(VPF53_125_135_DIAL,MATCH(MIN(ABS(VPF53_125_135_LH-C8)),ABS(VPF53_125_135_LH-C8),0))}</v>
      </c>
    </row>
    <row r="221" spans="1:24" x14ac:dyDescent="0.2">
      <c r="B221" s="94">
        <v>23000</v>
      </c>
      <c r="C221" s="94">
        <v>29900</v>
      </c>
      <c r="D221" s="94">
        <v>36500</v>
      </c>
      <c r="E221" s="94">
        <v>42800</v>
      </c>
      <c r="F221" s="94">
        <v>48700</v>
      </c>
      <c r="G221" s="94">
        <v>54500</v>
      </c>
      <c r="H221" s="94">
        <v>60000</v>
      </c>
      <c r="I221" s="94">
        <v>65500</v>
      </c>
      <c r="J221" s="94">
        <v>70900</v>
      </c>
      <c r="K221" s="94">
        <v>76400</v>
      </c>
      <c r="L221" s="94">
        <v>82000</v>
      </c>
      <c r="M221" s="94">
        <v>87800</v>
      </c>
      <c r="N221" s="94">
        <v>94000</v>
      </c>
      <c r="O221" s="94">
        <v>100700</v>
      </c>
      <c r="P221" s="94">
        <v>108000</v>
      </c>
      <c r="Q221" s="94">
        <v>116000</v>
      </c>
      <c r="R221" s="94">
        <v>125000</v>
      </c>
      <c r="S221" s="94">
        <v>135000</v>
      </c>
      <c r="U221" s="80" t="s">
        <v>601</v>
      </c>
      <c r="V221" s="80" t="s">
        <v>804</v>
      </c>
      <c r="W221" t="str">
        <f t="shared" si="42"/>
        <v>VPF53_125_135_LH</v>
      </c>
    </row>
    <row r="223" spans="1:24" x14ac:dyDescent="0.2">
      <c r="A223" s="213" t="s">
        <v>860</v>
      </c>
      <c r="B223" s="97"/>
      <c r="C223" s="97"/>
      <c r="W223" t="s">
        <v>853</v>
      </c>
    </row>
    <row r="224" spans="1:24" x14ac:dyDescent="0.2">
      <c r="A224">
        <v>0.5</v>
      </c>
      <c r="B224">
        <v>0.6</v>
      </c>
      <c r="C224">
        <v>0.8</v>
      </c>
      <c r="D224">
        <v>1</v>
      </c>
      <c r="E224">
        <v>1.2</v>
      </c>
      <c r="F224">
        <v>1.4</v>
      </c>
      <c r="G224">
        <v>1.6</v>
      </c>
      <c r="H224">
        <v>1.8</v>
      </c>
      <c r="I224">
        <v>2</v>
      </c>
      <c r="J224">
        <v>2.2000000000000002</v>
      </c>
      <c r="K224">
        <v>2.4</v>
      </c>
      <c r="L224">
        <v>2.6</v>
      </c>
      <c r="M224">
        <v>2.8</v>
      </c>
      <c r="N224">
        <v>3</v>
      </c>
      <c r="O224">
        <v>3.2</v>
      </c>
      <c r="P224">
        <v>3.4</v>
      </c>
      <c r="Q224">
        <v>3.6</v>
      </c>
      <c r="R224">
        <v>3.8</v>
      </c>
      <c r="S224">
        <v>4</v>
      </c>
      <c r="U224" t="s">
        <v>602</v>
      </c>
      <c r="V224" s="80" t="s">
        <v>862</v>
      </c>
      <c r="W224" t="str">
        <f t="shared" ref="W224:W225" si="43">V224&amp;U224</f>
        <v>VPF53_150_148_DIAL</v>
      </c>
      <c r="X224" t="str">
        <f>"{=INDEX(" &amp; W224 &amp; ",MATCH(MIN(ABS(" &amp; W225 &amp; "-C8)),ABS(" &amp; W225 &amp; "-C8),0))}"</f>
        <v>{=INDEX(VPF53_150_148_DIAL,MATCH(MIN(ABS(VPF53_150_148_LH-C8)),ABS(VPF53_150_148_LH-C8),0))}</v>
      </c>
    </row>
    <row r="225" spans="1:24" x14ac:dyDescent="0.2">
      <c r="B225">
        <v>25600</v>
      </c>
      <c r="C225">
        <v>32600</v>
      </c>
      <c r="D225">
        <v>39200</v>
      </c>
      <c r="E225">
        <v>45600</v>
      </c>
      <c r="F225">
        <v>51800</v>
      </c>
      <c r="G225">
        <v>58000</v>
      </c>
      <c r="H225">
        <v>64100</v>
      </c>
      <c r="I225">
        <v>70400</v>
      </c>
      <c r="J225">
        <v>76800</v>
      </c>
      <c r="K225">
        <v>83400</v>
      </c>
      <c r="L225">
        <v>90300</v>
      </c>
      <c r="M225">
        <v>97500</v>
      </c>
      <c r="N225">
        <v>105000</v>
      </c>
      <c r="O225">
        <v>112900</v>
      </c>
      <c r="P225">
        <v>121100</v>
      </c>
      <c r="Q225">
        <v>129700</v>
      </c>
      <c r="R225">
        <v>138700</v>
      </c>
      <c r="S225">
        <v>148000</v>
      </c>
      <c r="U225" t="s">
        <v>601</v>
      </c>
      <c r="V225" s="80" t="s">
        <v>862</v>
      </c>
      <c r="W225" t="str">
        <f t="shared" si="43"/>
        <v>VPF53_150_148_LH</v>
      </c>
    </row>
    <row r="227" spans="1:24" x14ac:dyDescent="0.2">
      <c r="A227" s="213" t="s">
        <v>861</v>
      </c>
      <c r="B227" s="97"/>
      <c r="C227" s="97"/>
    </row>
    <row r="228" spans="1:24" x14ac:dyDescent="0.2">
      <c r="A228">
        <v>0.5</v>
      </c>
      <c r="B228">
        <v>0.6</v>
      </c>
      <c r="C228">
        <v>0.8</v>
      </c>
      <c r="D228">
        <v>1</v>
      </c>
      <c r="E228">
        <v>1.2</v>
      </c>
      <c r="F228">
        <v>1.4</v>
      </c>
      <c r="G228">
        <v>1.6</v>
      </c>
      <c r="H228">
        <v>1.8</v>
      </c>
      <c r="I228">
        <v>2</v>
      </c>
      <c r="J228">
        <v>2.2000000000000002</v>
      </c>
      <c r="K228">
        <v>2.4</v>
      </c>
      <c r="L228">
        <v>2.6</v>
      </c>
      <c r="M228">
        <v>2.8</v>
      </c>
      <c r="N228">
        <v>3</v>
      </c>
      <c r="O228">
        <v>3.2</v>
      </c>
      <c r="P228">
        <v>3.4</v>
      </c>
      <c r="Q228">
        <v>3.6</v>
      </c>
      <c r="R228">
        <v>3.8</v>
      </c>
      <c r="S228">
        <v>4</v>
      </c>
      <c r="U228" t="s">
        <v>602</v>
      </c>
      <c r="V228" s="80" t="s">
        <v>863</v>
      </c>
      <c r="W228" t="str">
        <f t="shared" ref="W228:W229" si="44">V228&amp;U228</f>
        <v>VPF53_150_195_DIAL</v>
      </c>
      <c r="X228" t="str">
        <f>"{=INDEX(" &amp; W228 &amp; ",MATCH(MIN(ABS(" &amp; W229 &amp; "-C8)),ABS(" &amp; W229 &amp; "-C8),0))}"</f>
        <v>{=INDEX(VPF53_150_195_DIAL,MATCH(MIN(ABS(VPF53_150_195_LH-C8)),ABS(VPF53_150_195_LH-C8),0))}</v>
      </c>
    </row>
    <row r="229" spans="1:24" x14ac:dyDescent="0.2">
      <c r="B229">
        <v>32000</v>
      </c>
      <c r="C229">
        <v>41300</v>
      </c>
      <c r="D229">
        <v>50000</v>
      </c>
      <c r="E229">
        <v>58200</v>
      </c>
      <c r="F229">
        <v>66000</v>
      </c>
      <c r="G229">
        <v>73700</v>
      </c>
      <c r="H229">
        <v>81300</v>
      </c>
      <c r="I229">
        <v>89000</v>
      </c>
      <c r="J229">
        <v>96900</v>
      </c>
      <c r="K229">
        <v>105200</v>
      </c>
      <c r="L229">
        <v>113900</v>
      </c>
      <c r="M229">
        <v>123100</v>
      </c>
      <c r="N229">
        <v>133000</v>
      </c>
      <c r="O229">
        <v>143600</v>
      </c>
      <c r="P229">
        <v>155100</v>
      </c>
      <c r="Q229">
        <v>167400</v>
      </c>
      <c r="R229">
        <v>180700</v>
      </c>
      <c r="S229">
        <v>195000</v>
      </c>
      <c r="U229" t="s">
        <v>601</v>
      </c>
      <c r="V229" s="80" t="s">
        <v>863</v>
      </c>
      <c r="W229" t="str">
        <f t="shared" si="44"/>
        <v>VPF53_150_195_LH</v>
      </c>
    </row>
  </sheetData>
  <sheetProtection sheet="1" objects="1" scenarios="1"/>
  <mergeCells count="24">
    <mergeCell ref="A91:V91"/>
    <mergeCell ref="A48:V48"/>
    <mergeCell ref="A51:V51"/>
    <mergeCell ref="A54:V54"/>
    <mergeCell ref="A60:V60"/>
    <mergeCell ref="A63:V63"/>
    <mergeCell ref="A66:V66"/>
    <mergeCell ref="A73:V73"/>
    <mergeCell ref="A76:V76"/>
    <mergeCell ref="A79:V79"/>
    <mergeCell ref="A85:V85"/>
    <mergeCell ref="A88:V88"/>
    <mergeCell ref="A41:V41"/>
    <mergeCell ref="A12:W12"/>
    <mergeCell ref="A17:V17"/>
    <mergeCell ref="A20:V20"/>
    <mergeCell ref="A23:V23"/>
    <mergeCell ref="A26:V26"/>
    <mergeCell ref="A29:V29"/>
    <mergeCell ref="A6:W6"/>
    <mergeCell ref="A9:W9"/>
    <mergeCell ref="A32:V32"/>
    <mergeCell ref="A35:V35"/>
    <mergeCell ref="A38:V3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F546"/>
  <sheetViews>
    <sheetView workbookViewId="0">
      <selection activeCell="A8" sqref="A8"/>
    </sheetView>
  </sheetViews>
  <sheetFormatPr defaultRowHeight="12.75" x14ac:dyDescent="0.2"/>
  <cols>
    <col min="2" max="2" width="36.7109375" customWidth="1"/>
    <col min="3" max="3" width="22.5703125" customWidth="1"/>
    <col min="7" max="7" width="37.28515625" customWidth="1"/>
    <col min="8" max="8" width="47.5703125" customWidth="1"/>
  </cols>
  <sheetData>
    <row r="1" spans="1:5" x14ac:dyDescent="0.2">
      <c r="A1" s="2" t="s">
        <v>12</v>
      </c>
      <c r="B1" s="2" t="s">
        <v>13</v>
      </c>
      <c r="C1" s="3" t="s">
        <v>14</v>
      </c>
      <c r="D1" s="2" t="s">
        <v>15</v>
      </c>
      <c r="E1" s="2" t="s">
        <v>16</v>
      </c>
    </row>
    <row r="2" spans="1:5" x14ac:dyDescent="0.2">
      <c r="A2" s="7">
        <v>1</v>
      </c>
      <c r="B2" s="7" t="s">
        <v>154</v>
      </c>
      <c r="C2" s="7">
        <v>11</v>
      </c>
    </row>
    <row r="3" spans="1:5" x14ac:dyDescent="0.2">
      <c r="A3">
        <v>2</v>
      </c>
      <c r="B3" t="s">
        <v>172</v>
      </c>
    </row>
    <row r="4" spans="1:5" x14ac:dyDescent="0.2">
      <c r="A4">
        <v>3</v>
      </c>
      <c r="B4" s="9" t="s">
        <v>165</v>
      </c>
      <c r="C4" t="s">
        <v>168</v>
      </c>
    </row>
    <row r="5" spans="1:5" x14ac:dyDescent="0.2">
      <c r="A5">
        <v>3</v>
      </c>
      <c r="B5" s="9" t="s">
        <v>166</v>
      </c>
      <c r="C5" t="s">
        <v>169</v>
      </c>
    </row>
    <row r="6" spans="1:5" x14ac:dyDescent="0.2">
      <c r="A6">
        <v>3</v>
      </c>
      <c r="B6" s="9" t="s">
        <v>167</v>
      </c>
      <c r="C6" t="s">
        <v>170</v>
      </c>
    </row>
    <row r="7" spans="1:5" x14ac:dyDescent="0.2">
      <c r="A7">
        <v>3</v>
      </c>
      <c r="B7" s="9" t="s">
        <v>212</v>
      </c>
      <c r="C7" t="s">
        <v>171</v>
      </c>
    </row>
    <row r="8" spans="1:5" x14ac:dyDescent="0.2">
      <c r="A8">
        <v>2</v>
      </c>
      <c r="B8" t="s">
        <v>218</v>
      </c>
    </row>
    <row r="9" spans="1:5" x14ac:dyDescent="0.2">
      <c r="A9">
        <v>3</v>
      </c>
      <c r="B9" s="9" t="s">
        <v>165</v>
      </c>
      <c r="C9" t="s">
        <v>215</v>
      </c>
    </row>
    <row r="10" spans="1:5" x14ac:dyDescent="0.2">
      <c r="A10">
        <v>3</v>
      </c>
      <c r="B10" s="9" t="s">
        <v>167</v>
      </c>
      <c r="C10" t="s">
        <v>216</v>
      </c>
    </row>
    <row r="11" spans="1:5" x14ac:dyDescent="0.2">
      <c r="A11">
        <v>3</v>
      </c>
      <c r="B11" s="9" t="s">
        <v>212</v>
      </c>
      <c r="C11" t="s">
        <v>217</v>
      </c>
    </row>
    <row r="12" spans="1:5" x14ac:dyDescent="0.2">
      <c r="A12">
        <v>2</v>
      </c>
      <c r="B12" t="s">
        <v>181</v>
      </c>
      <c r="D12" t="b">
        <v>1</v>
      </c>
    </row>
    <row r="13" spans="1:5" x14ac:dyDescent="0.2">
      <c r="A13">
        <v>3</v>
      </c>
      <c r="B13" s="9" t="s">
        <v>165</v>
      </c>
      <c r="C13" t="s">
        <v>182</v>
      </c>
    </row>
    <row r="14" spans="1:5" x14ac:dyDescent="0.2">
      <c r="A14">
        <v>3</v>
      </c>
      <c r="B14" s="9" t="s">
        <v>166</v>
      </c>
      <c r="C14" t="s">
        <v>183</v>
      </c>
    </row>
    <row r="15" spans="1:5" x14ac:dyDescent="0.2">
      <c r="A15">
        <v>3</v>
      </c>
      <c r="B15" s="9" t="s">
        <v>167</v>
      </c>
      <c r="C15" t="s">
        <v>184</v>
      </c>
    </row>
    <row r="16" spans="1:5" x14ac:dyDescent="0.2">
      <c r="A16">
        <v>3</v>
      </c>
      <c r="B16" s="9" t="s">
        <v>212</v>
      </c>
      <c r="C16" t="s">
        <v>185</v>
      </c>
    </row>
    <row r="17" spans="1:4" x14ac:dyDescent="0.2">
      <c r="A17">
        <v>3</v>
      </c>
      <c r="B17" s="9" t="s">
        <v>392</v>
      </c>
      <c r="C17" t="s">
        <v>394</v>
      </c>
    </row>
    <row r="18" spans="1:4" x14ac:dyDescent="0.2">
      <c r="A18">
        <v>2</v>
      </c>
      <c r="B18" t="s">
        <v>190</v>
      </c>
    </row>
    <row r="19" spans="1:4" x14ac:dyDescent="0.2">
      <c r="A19">
        <v>3</v>
      </c>
      <c r="B19" s="9" t="s">
        <v>165</v>
      </c>
      <c r="C19" t="s">
        <v>186</v>
      </c>
    </row>
    <row r="20" spans="1:4" x14ac:dyDescent="0.2">
      <c r="A20">
        <v>3</v>
      </c>
      <c r="B20" s="9" t="s">
        <v>166</v>
      </c>
      <c r="C20" t="s">
        <v>187</v>
      </c>
    </row>
    <row r="21" spans="1:4" x14ac:dyDescent="0.2">
      <c r="A21">
        <v>3</v>
      </c>
      <c r="B21" s="9" t="s">
        <v>167</v>
      </c>
      <c r="C21" t="s">
        <v>188</v>
      </c>
    </row>
    <row r="22" spans="1:4" x14ac:dyDescent="0.2">
      <c r="A22">
        <v>3</v>
      </c>
      <c r="B22" s="9" t="s">
        <v>212</v>
      </c>
      <c r="C22" t="s">
        <v>189</v>
      </c>
    </row>
    <row r="23" spans="1:4" x14ac:dyDescent="0.2">
      <c r="A23">
        <v>3</v>
      </c>
      <c r="B23" s="9" t="s">
        <v>392</v>
      </c>
      <c r="C23" t="s">
        <v>393</v>
      </c>
    </row>
    <row r="24" spans="1:4" x14ac:dyDescent="0.2">
      <c r="A24">
        <v>2</v>
      </c>
      <c r="B24" t="s">
        <v>386</v>
      </c>
      <c r="D24" t="b">
        <v>1</v>
      </c>
    </row>
    <row r="25" spans="1:4" x14ac:dyDescent="0.2">
      <c r="A25">
        <v>3</v>
      </c>
      <c r="B25" s="9" t="s">
        <v>165</v>
      </c>
      <c r="C25" t="s">
        <v>382</v>
      </c>
    </row>
    <row r="26" spans="1:4" x14ac:dyDescent="0.2">
      <c r="A26">
        <v>3</v>
      </c>
      <c r="B26" s="9" t="s">
        <v>390</v>
      </c>
      <c r="C26" t="s">
        <v>389</v>
      </c>
    </row>
    <row r="27" spans="1:4" x14ac:dyDescent="0.2">
      <c r="A27">
        <v>3</v>
      </c>
      <c r="B27" s="9" t="s">
        <v>212</v>
      </c>
      <c r="C27" t="s">
        <v>383</v>
      </c>
    </row>
    <row r="28" spans="1:4" x14ac:dyDescent="0.2">
      <c r="A28">
        <v>3</v>
      </c>
      <c r="B28" s="9" t="s">
        <v>391</v>
      </c>
      <c r="C28" t="s">
        <v>388</v>
      </c>
    </row>
    <row r="29" spans="1:4" x14ac:dyDescent="0.2">
      <c r="A29">
        <v>2</v>
      </c>
      <c r="B29" t="s">
        <v>387</v>
      </c>
    </row>
    <row r="30" spans="1:4" x14ac:dyDescent="0.2">
      <c r="A30">
        <v>3</v>
      </c>
      <c r="B30" s="9" t="s">
        <v>165</v>
      </c>
      <c r="C30" t="s">
        <v>384</v>
      </c>
    </row>
    <row r="31" spans="1:4" x14ac:dyDescent="0.2">
      <c r="A31">
        <v>3</v>
      </c>
      <c r="B31" s="9" t="s">
        <v>212</v>
      </c>
      <c r="C31" t="s">
        <v>385</v>
      </c>
    </row>
    <row r="32" spans="1:4" x14ac:dyDescent="0.2">
      <c r="A32">
        <v>2</v>
      </c>
      <c r="B32" t="s">
        <v>192</v>
      </c>
      <c r="D32" t="b">
        <v>1</v>
      </c>
    </row>
    <row r="33" spans="1:6" x14ac:dyDescent="0.2">
      <c r="A33">
        <v>3</v>
      </c>
      <c r="B33" s="9" t="s">
        <v>191</v>
      </c>
      <c r="C33" t="s">
        <v>193</v>
      </c>
    </row>
    <row r="34" spans="1:6" x14ac:dyDescent="0.2">
      <c r="A34">
        <v>3</v>
      </c>
      <c r="B34" s="9" t="s">
        <v>213</v>
      </c>
      <c r="C34" t="s">
        <v>194</v>
      </c>
    </row>
    <row r="35" spans="1:6" x14ac:dyDescent="0.2">
      <c r="A35">
        <v>2</v>
      </c>
      <c r="B35" t="s">
        <v>173</v>
      </c>
    </row>
    <row r="36" spans="1:6" x14ac:dyDescent="0.2">
      <c r="A36">
        <v>3</v>
      </c>
      <c r="B36" s="9" t="s">
        <v>166</v>
      </c>
      <c r="C36" t="s">
        <v>174</v>
      </c>
      <c r="F36" s="9"/>
    </row>
    <row r="37" spans="1:6" x14ac:dyDescent="0.2">
      <c r="A37">
        <v>3</v>
      </c>
      <c r="B37" s="9" t="s">
        <v>167</v>
      </c>
      <c r="C37" t="s">
        <v>175</v>
      </c>
      <c r="F37" s="9"/>
    </row>
    <row r="38" spans="1:6" x14ac:dyDescent="0.2">
      <c r="A38">
        <v>3</v>
      </c>
      <c r="B38" s="9" t="s">
        <v>214</v>
      </c>
      <c r="C38" t="s">
        <v>179</v>
      </c>
    </row>
    <row r="39" spans="1:6" x14ac:dyDescent="0.2">
      <c r="A39">
        <v>2</v>
      </c>
      <c r="B39" t="s">
        <v>180</v>
      </c>
      <c r="D39" t="b">
        <v>1</v>
      </c>
    </row>
    <row r="40" spans="1:6" x14ac:dyDescent="0.2">
      <c r="A40">
        <v>3</v>
      </c>
      <c r="B40" s="9" t="s">
        <v>166</v>
      </c>
      <c r="C40" t="s">
        <v>176</v>
      </c>
    </row>
    <row r="41" spans="1:6" x14ac:dyDescent="0.2">
      <c r="A41">
        <v>3</v>
      </c>
      <c r="B41" s="9" t="s">
        <v>167</v>
      </c>
      <c r="C41" t="s">
        <v>177</v>
      </c>
    </row>
    <row r="42" spans="1:6" x14ac:dyDescent="0.2">
      <c r="A42">
        <v>3</v>
      </c>
      <c r="B42" s="9" t="s">
        <v>214</v>
      </c>
      <c r="C42" t="s">
        <v>178</v>
      </c>
    </row>
    <row r="43" spans="1:6" x14ac:dyDescent="0.2">
      <c r="A43">
        <v>2</v>
      </c>
      <c r="B43" t="s">
        <v>198</v>
      </c>
    </row>
    <row r="44" spans="1:6" x14ac:dyDescent="0.2">
      <c r="A44">
        <v>3</v>
      </c>
      <c r="B44" s="9" t="s">
        <v>166</v>
      </c>
      <c r="C44" t="s">
        <v>195</v>
      </c>
    </row>
    <row r="45" spans="1:6" x14ac:dyDescent="0.2">
      <c r="A45">
        <v>3</v>
      </c>
      <c r="B45" s="9" t="s">
        <v>167</v>
      </c>
      <c r="C45" t="s">
        <v>196</v>
      </c>
    </row>
    <row r="46" spans="1:6" x14ac:dyDescent="0.2">
      <c r="A46">
        <v>3</v>
      </c>
      <c r="B46" s="9" t="s">
        <v>214</v>
      </c>
      <c r="C46" t="s">
        <v>197</v>
      </c>
    </row>
    <row r="47" spans="1:6" x14ac:dyDescent="0.2">
      <c r="A47">
        <v>2</v>
      </c>
      <c r="B47" t="s">
        <v>202</v>
      </c>
      <c r="D47" t="b">
        <v>1</v>
      </c>
    </row>
    <row r="48" spans="1:6" x14ac:dyDescent="0.2">
      <c r="A48">
        <v>3</v>
      </c>
      <c r="B48" s="9" t="s">
        <v>166</v>
      </c>
      <c r="C48" t="s">
        <v>199</v>
      </c>
    </row>
    <row r="49" spans="1:5" x14ac:dyDescent="0.2">
      <c r="A49">
        <v>3</v>
      </c>
      <c r="B49" s="9" t="s">
        <v>167</v>
      </c>
      <c r="C49" t="s">
        <v>200</v>
      </c>
    </row>
    <row r="50" spans="1:5" x14ac:dyDescent="0.2">
      <c r="A50">
        <v>3</v>
      </c>
      <c r="B50" s="9" t="s">
        <v>214</v>
      </c>
      <c r="C50" t="s">
        <v>201</v>
      </c>
    </row>
    <row r="51" spans="1:5" x14ac:dyDescent="0.2">
      <c r="A51">
        <v>2</v>
      </c>
      <c r="B51" t="s">
        <v>206</v>
      </c>
    </row>
    <row r="52" spans="1:5" x14ac:dyDescent="0.2">
      <c r="A52">
        <v>3</v>
      </c>
      <c r="B52" s="9" t="s">
        <v>166</v>
      </c>
      <c r="C52" t="s">
        <v>203</v>
      </c>
    </row>
    <row r="53" spans="1:5" x14ac:dyDescent="0.2">
      <c r="A53">
        <v>3</v>
      </c>
      <c r="B53" s="9" t="s">
        <v>167</v>
      </c>
      <c r="C53" t="s">
        <v>204</v>
      </c>
    </row>
    <row r="54" spans="1:5" x14ac:dyDescent="0.2">
      <c r="A54">
        <v>3</v>
      </c>
      <c r="B54" s="9" t="s">
        <v>214</v>
      </c>
      <c r="C54" t="s">
        <v>205</v>
      </c>
    </row>
    <row r="55" spans="1:5" x14ac:dyDescent="0.2">
      <c r="A55" s="7">
        <v>1</v>
      </c>
      <c r="B55" s="7" t="s">
        <v>21</v>
      </c>
      <c r="C55" s="7">
        <v>11</v>
      </c>
      <c r="D55" s="4"/>
      <c r="E55" s="4"/>
    </row>
    <row r="56" spans="1:5" x14ac:dyDescent="0.2">
      <c r="A56">
        <v>2</v>
      </c>
      <c r="B56" t="s">
        <v>19</v>
      </c>
      <c r="D56" s="5" t="b">
        <v>1</v>
      </c>
      <c r="E56" s="5"/>
    </row>
    <row r="57" spans="1:5" x14ac:dyDescent="0.2">
      <c r="A57">
        <v>3</v>
      </c>
      <c r="B57">
        <v>0.25</v>
      </c>
      <c r="C57" t="s">
        <v>22</v>
      </c>
      <c r="D57" s="5"/>
      <c r="E57" s="5"/>
    </row>
    <row r="58" spans="1:5" x14ac:dyDescent="0.2">
      <c r="A58">
        <v>3</v>
      </c>
      <c r="B58">
        <v>0.4</v>
      </c>
      <c r="C58" t="s">
        <v>144</v>
      </c>
      <c r="D58" s="5"/>
      <c r="E58" s="5"/>
    </row>
    <row r="59" spans="1:5" x14ac:dyDescent="0.2">
      <c r="A59">
        <v>3</v>
      </c>
      <c r="B59">
        <v>0.63</v>
      </c>
      <c r="C59" t="s">
        <v>23</v>
      </c>
      <c r="D59" s="5"/>
      <c r="E59" s="5"/>
    </row>
    <row r="60" spans="1:5" x14ac:dyDescent="0.2">
      <c r="A60">
        <v>3</v>
      </c>
      <c r="B60">
        <v>1</v>
      </c>
      <c r="C60" t="s">
        <v>24</v>
      </c>
      <c r="D60" s="5"/>
      <c r="E60" s="5"/>
    </row>
    <row r="61" spans="1:5" x14ac:dyDescent="0.2">
      <c r="A61">
        <v>3</v>
      </c>
      <c r="B61">
        <v>1.6</v>
      </c>
      <c r="C61" t="s">
        <v>25</v>
      </c>
      <c r="D61" s="5"/>
      <c r="E61" s="5"/>
    </row>
    <row r="62" spans="1:5" x14ac:dyDescent="0.2">
      <c r="A62">
        <v>3</v>
      </c>
      <c r="B62">
        <v>2.5</v>
      </c>
      <c r="C62" t="s">
        <v>26</v>
      </c>
      <c r="E62" s="5"/>
    </row>
    <row r="63" spans="1:5" x14ac:dyDescent="0.2">
      <c r="A63">
        <v>2</v>
      </c>
      <c r="B63" t="s">
        <v>20</v>
      </c>
      <c r="E63" s="5"/>
    </row>
    <row r="64" spans="1:5" x14ac:dyDescent="0.2">
      <c r="A64">
        <v>3</v>
      </c>
      <c r="B64">
        <v>0.25</v>
      </c>
      <c r="C64" t="s">
        <v>27</v>
      </c>
      <c r="D64" s="5"/>
      <c r="E64" s="5"/>
    </row>
    <row r="65" spans="1:5" x14ac:dyDescent="0.2">
      <c r="A65">
        <v>3</v>
      </c>
      <c r="B65">
        <v>0.4</v>
      </c>
      <c r="C65" t="s">
        <v>145</v>
      </c>
      <c r="D65" s="5"/>
      <c r="E65" s="5"/>
    </row>
    <row r="66" spans="1:5" x14ac:dyDescent="0.2">
      <c r="A66">
        <v>3</v>
      </c>
      <c r="B66">
        <v>0.63</v>
      </c>
      <c r="C66" t="s">
        <v>28</v>
      </c>
      <c r="D66" s="5"/>
      <c r="E66" s="5"/>
    </row>
    <row r="67" spans="1:5" x14ac:dyDescent="0.2">
      <c r="A67">
        <v>3</v>
      </c>
      <c r="B67">
        <v>1</v>
      </c>
      <c r="C67" t="s">
        <v>29</v>
      </c>
      <c r="D67" s="5"/>
      <c r="E67" s="5"/>
    </row>
    <row r="68" spans="1:5" x14ac:dyDescent="0.2">
      <c r="A68">
        <v>3</v>
      </c>
      <c r="B68">
        <v>1.6</v>
      </c>
      <c r="C68" t="s">
        <v>30</v>
      </c>
      <c r="D68" s="5"/>
      <c r="E68" s="5"/>
    </row>
    <row r="69" spans="1:5" x14ac:dyDescent="0.2">
      <c r="A69">
        <v>3</v>
      </c>
      <c r="B69">
        <v>2.5</v>
      </c>
      <c r="C69" t="s">
        <v>31</v>
      </c>
      <c r="D69" s="5"/>
      <c r="E69" s="5"/>
    </row>
    <row r="70" spans="1:5" x14ac:dyDescent="0.2">
      <c r="A70">
        <v>2</v>
      </c>
      <c r="B70" t="s">
        <v>32</v>
      </c>
      <c r="D70" s="5" t="b">
        <v>1</v>
      </c>
    </row>
    <row r="71" spans="1:5" x14ac:dyDescent="0.2">
      <c r="A71">
        <v>3</v>
      </c>
      <c r="B71">
        <v>0.25</v>
      </c>
      <c r="C71" t="s">
        <v>34</v>
      </c>
    </row>
    <row r="72" spans="1:5" x14ac:dyDescent="0.2">
      <c r="A72">
        <v>3</v>
      </c>
      <c r="B72">
        <v>0.4</v>
      </c>
      <c r="C72" t="s">
        <v>35</v>
      </c>
    </row>
    <row r="73" spans="1:5" x14ac:dyDescent="0.2">
      <c r="A73">
        <v>3</v>
      </c>
      <c r="B73">
        <v>0.63</v>
      </c>
      <c r="C73" t="s">
        <v>36</v>
      </c>
    </row>
    <row r="74" spans="1:5" x14ac:dyDescent="0.2">
      <c r="A74">
        <v>3</v>
      </c>
      <c r="B74">
        <v>1</v>
      </c>
      <c r="C74" t="s">
        <v>37</v>
      </c>
    </row>
    <row r="75" spans="1:5" x14ac:dyDescent="0.2">
      <c r="A75">
        <v>3</v>
      </c>
      <c r="B75">
        <v>1.6</v>
      </c>
      <c r="C75" t="s">
        <v>38</v>
      </c>
    </row>
    <row r="76" spans="1:5" x14ac:dyDescent="0.2">
      <c r="A76">
        <v>3</v>
      </c>
      <c r="B76">
        <v>2.5</v>
      </c>
      <c r="C76" t="s">
        <v>39</v>
      </c>
    </row>
    <row r="77" spans="1:5" x14ac:dyDescent="0.2">
      <c r="A77">
        <v>3</v>
      </c>
      <c r="B77">
        <v>4</v>
      </c>
      <c r="C77" t="s">
        <v>40</v>
      </c>
    </row>
    <row r="78" spans="1:5" x14ac:dyDescent="0.2">
      <c r="A78">
        <v>3</v>
      </c>
      <c r="B78">
        <v>6.3</v>
      </c>
      <c r="C78" t="s">
        <v>52</v>
      </c>
    </row>
    <row r="79" spans="1:5" x14ac:dyDescent="0.2">
      <c r="A79">
        <v>3</v>
      </c>
      <c r="B79">
        <v>10</v>
      </c>
      <c r="C79" t="s">
        <v>53</v>
      </c>
    </row>
    <row r="80" spans="1:5" x14ac:dyDescent="0.2">
      <c r="A80">
        <v>2</v>
      </c>
      <c r="B80" t="s">
        <v>33</v>
      </c>
    </row>
    <row r="81" spans="1:4" x14ac:dyDescent="0.2">
      <c r="A81">
        <v>3</v>
      </c>
      <c r="B81">
        <v>0.25</v>
      </c>
      <c r="C81" t="s">
        <v>41</v>
      </c>
    </row>
    <row r="82" spans="1:4" x14ac:dyDescent="0.2">
      <c r="A82">
        <v>3</v>
      </c>
      <c r="B82">
        <v>0.4</v>
      </c>
      <c r="C82" t="s">
        <v>42</v>
      </c>
    </row>
    <row r="83" spans="1:4" x14ac:dyDescent="0.2">
      <c r="A83">
        <v>3</v>
      </c>
      <c r="B83">
        <v>0.63</v>
      </c>
      <c r="C83" t="s">
        <v>43</v>
      </c>
    </row>
    <row r="84" spans="1:4" x14ac:dyDescent="0.2">
      <c r="A84">
        <v>3</v>
      </c>
      <c r="B84">
        <v>1</v>
      </c>
      <c r="C84" t="s">
        <v>44</v>
      </c>
    </row>
    <row r="85" spans="1:4" x14ac:dyDescent="0.2">
      <c r="A85">
        <v>3</v>
      </c>
      <c r="B85">
        <v>1.6</v>
      </c>
      <c r="C85" t="s">
        <v>45</v>
      </c>
    </row>
    <row r="86" spans="1:4" x14ac:dyDescent="0.2">
      <c r="A86">
        <v>3</v>
      </c>
      <c r="B86">
        <v>2.5</v>
      </c>
      <c r="C86" t="s">
        <v>46</v>
      </c>
    </row>
    <row r="87" spans="1:4" x14ac:dyDescent="0.2">
      <c r="A87">
        <v>3</v>
      </c>
      <c r="B87">
        <v>4</v>
      </c>
      <c r="C87" t="s">
        <v>47</v>
      </c>
    </row>
    <row r="88" spans="1:4" x14ac:dyDescent="0.2">
      <c r="A88">
        <v>3</v>
      </c>
      <c r="B88">
        <v>6.3</v>
      </c>
      <c r="C88" t="s">
        <v>48</v>
      </c>
    </row>
    <row r="89" spans="1:4" x14ac:dyDescent="0.2">
      <c r="A89">
        <v>3</v>
      </c>
      <c r="B89">
        <v>10</v>
      </c>
      <c r="C89" t="s">
        <v>49</v>
      </c>
    </row>
    <row r="90" spans="1:4" x14ac:dyDescent="0.2">
      <c r="A90">
        <v>3</v>
      </c>
      <c r="B90">
        <v>16</v>
      </c>
      <c r="C90" t="s">
        <v>50</v>
      </c>
    </row>
    <row r="91" spans="1:4" x14ac:dyDescent="0.2">
      <c r="A91">
        <v>2</v>
      </c>
      <c r="B91" t="s">
        <v>51</v>
      </c>
      <c r="D91" t="b">
        <v>1</v>
      </c>
    </row>
    <row r="92" spans="1:4" x14ac:dyDescent="0.2">
      <c r="A92">
        <v>3</v>
      </c>
      <c r="B92">
        <v>0.25</v>
      </c>
      <c r="C92" t="s">
        <v>54</v>
      </c>
    </row>
    <row r="93" spans="1:4" x14ac:dyDescent="0.2">
      <c r="A93">
        <v>3</v>
      </c>
      <c r="B93">
        <v>0.4</v>
      </c>
      <c r="C93" t="s">
        <v>55</v>
      </c>
    </row>
    <row r="94" spans="1:4" x14ac:dyDescent="0.2">
      <c r="A94">
        <v>3</v>
      </c>
      <c r="B94">
        <v>0.63</v>
      </c>
      <c r="C94" t="s">
        <v>56</v>
      </c>
    </row>
    <row r="95" spans="1:4" x14ac:dyDescent="0.2">
      <c r="A95">
        <v>3</v>
      </c>
      <c r="B95">
        <v>1</v>
      </c>
      <c r="C95" t="s">
        <v>57</v>
      </c>
    </row>
    <row r="96" spans="1:4" x14ac:dyDescent="0.2">
      <c r="A96">
        <v>3</v>
      </c>
      <c r="B96">
        <v>1.6</v>
      </c>
      <c r="C96" t="s">
        <v>58</v>
      </c>
    </row>
    <row r="97" spans="1:3" x14ac:dyDescent="0.2">
      <c r="A97">
        <v>3</v>
      </c>
      <c r="B97">
        <v>2.5</v>
      </c>
      <c r="C97" t="s">
        <v>59</v>
      </c>
    </row>
    <row r="98" spans="1:3" x14ac:dyDescent="0.2">
      <c r="A98">
        <v>3</v>
      </c>
      <c r="B98">
        <v>4</v>
      </c>
      <c r="C98" t="s">
        <v>60</v>
      </c>
    </row>
    <row r="99" spans="1:3" x14ac:dyDescent="0.2">
      <c r="A99">
        <v>3</v>
      </c>
      <c r="B99">
        <v>6.3</v>
      </c>
      <c r="C99" t="s">
        <v>61</v>
      </c>
    </row>
    <row r="100" spans="1:3" x14ac:dyDescent="0.2">
      <c r="A100">
        <v>3</v>
      </c>
      <c r="B100">
        <v>10</v>
      </c>
      <c r="C100" t="s">
        <v>62</v>
      </c>
    </row>
    <row r="101" spans="1:3" x14ac:dyDescent="0.2">
      <c r="A101">
        <v>3</v>
      </c>
      <c r="B101">
        <v>16</v>
      </c>
      <c r="C101" t="s">
        <v>63</v>
      </c>
    </row>
    <row r="102" spans="1:3" x14ac:dyDescent="0.2">
      <c r="A102">
        <v>3</v>
      </c>
      <c r="B102">
        <v>25</v>
      </c>
      <c r="C102" t="s">
        <v>64</v>
      </c>
    </row>
    <row r="103" spans="1:3" x14ac:dyDescent="0.2">
      <c r="A103">
        <v>2</v>
      </c>
      <c r="B103" t="s">
        <v>65</v>
      </c>
    </row>
    <row r="104" spans="1:3" x14ac:dyDescent="0.2">
      <c r="A104">
        <v>3</v>
      </c>
      <c r="B104">
        <v>0.25</v>
      </c>
      <c r="C104" t="s">
        <v>66</v>
      </c>
    </row>
    <row r="105" spans="1:3" x14ac:dyDescent="0.2">
      <c r="A105">
        <v>3</v>
      </c>
      <c r="B105">
        <v>0.4</v>
      </c>
      <c r="C105" t="s">
        <v>67</v>
      </c>
    </row>
    <row r="106" spans="1:3" x14ac:dyDescent="0.2">
      <c r="A106">
        <v>3</v>
      </c>
      <c r="B106">
        <v>0.63</v>
      </c>
      <c r="C106" t="s">
        <v>68</v>
      </c>
    </row>
    <row r="107" spans="1:3" x14ac:dyDescent="0.2">
      <c r="A107">
        <v>3</v>
      </c>
      <c r="B107">
        <v>1</v>
      </c>
      <c r="C107" t="s">
        <v>69</v>
      </c>
    </row>
    <row r="108" spans="1:3" x14ac:dyDescent="0.2">
      <c r="A108">
        <v>3</v>
      </c>
      <c r="B108">
        <v>1.6</v>
      </c>
      <c r="C108" t="s">
        <v>70</v>
      </c>
    </row>
    <row r="109" spans="1:3" x14ac:dyDescent="0.2">
      <c r="A109">
        <v>3</v>
      </c>
      <c r="B109">
        <v>2.5</v>
      </c>
      <c r="C109" t="s">
        <v>71</v>
      </c>
    </row>
    <row r="110" spans="1:3" x14ac:dyDescent="0.2">
      <c r="A110">
        <v>3</v>
      </c>
      <c r="B110">
        <v>4</v>
      </c>
      <c r="C110" t="s">
        <v>72</v>
      </c>
    </row>
    <row r="111" spans="1:3" x14ac:dyDescent="0.2">
      <c r="A111">
        <v>3</v>
      </c>
      <c r="B111">
        <v>6.3</v>
      </c>
      <c r="C111" t="s">
        <v>73</v>
      </c>
    </row>
    <row r="112" spans="1:3" x14ac:dyDescent="0.2">
      <c r="A112">
        <v>3</v>
      </c>
      <c r="B112">
        <v>10</v>
      </c>
      <c r="C112" t="s">
        <v>74</v>
      </c>
    </row>
    <row r="113" spans="1:4" x14ac:dyDescent="0.2">
      <c r="A113">
        <v>3</v>
      </c>
      <c r="B113">
        <v>16</v>
      </c>
      <c r="C113" t="s">
        <v>75</v>
      </c>
    </row>
    <row r="114" spans="1:4" x14ac:dyDescent="0.2">
      <c r="A114">
        <v>3</v>
      </c>
      <c r="B114">
        <v>25</v>
      </c>
      <c r="C114" t="s">
        <v>76</v>
      </c>
    </row>
    <row r="115" spans="1:4" x14ac:dyDescent="0.2">
      <c r="A115">
        <v>2</v>
      </c>
      <c r="B115" t="s">
        <v>17</v>
      </c>
      <c r="D115" t="b">
        <v>1</v>
      </c>
    </row>
    <row r="116" spans="1:4" x14ac:dyDescent="0.2">
      <c r="A116">
        <v>3</v>
      </c>
      <c r="B116">
        <v>0.63</v>
      </c>
      <c r="C116" t="s">
        <v>133</v>
      </c>
    </row>
    <row r="117" spans="1:4" x14ac:dyDescent="0.2">
      <c r="A117">
        <v>3</v>
      </c>
      <c r="B117">
        <v>1</v>
      </c>
      <c r="C117" t="s">
        <v>134</v>
      </c>
    </row>
    <row r="118" spans="1:4" x14ac:dyDescent="0.2">
      <c r="A118">
        <v>3</v>
      </c>
      <c r="B118">
        <v>1.6</v>
      </c>
      <c r="C118" t="s">
        <v>135</v>
      </c>
    </row>
    <row r="119" spans="1:4" x14ac:dyDescent="0.2">
      <c r="A119">
        <v>3</v>
      </c>
      <c r="B119">
        <v>2.5</v>
      </c>
      <c r="C119" t="s">
        <v>136</v>
      </c>
    </row>
    <row r="120" spans="1:4" x14ac:dyDescent="0.2">
      <c r="A120">
        <v>3</v>
      </c>
      <c r="B120">
        <v>4</v>
      </c>
      <c r="C120" t="s">
        <v>137</v>
      </c>
    </row>
    <row r="121" spans="1:4" x14ac:dyDescent="0.2">
      <c r="A121">
        <v>3</v>
      </c>
      <c r="B121">
        <v>6.3</v>
      </c>
      <c r="C121" t="s">
        <v>138</v>
      </c>
    </row>
    <row r="122" spans="1:4" x14ac:dyDescent="0.2">
      <c r="A122">
        <v>3</v>
      </c>
      <c r="B122">
        <v>10</v>
      </c>
      <c r="C122" t="s">
        <v>139</v>
      </c>
    </row>
    <row r="123" spans="1:4" x14ac:dyDescent="0.2">
      <c r="A123">
        <v>3</v>
      </c>
      <c r="B123">
        <v>16</v>
      </c>
      <c r="C123" t="s">
        <v>140</v>
      </c>
    </row>
    <row r="124" spans="1:4" x14ac:dyDescent="0.2">
      <c r="A124">
        <v>3</v>
      </c>
      <c r="B124">
        <v>25</v>
      </c>
      <c r="C124" t="s">
        <v>141</v>
      </c>
    </row>
    <row r="125" spans="1:4" x14ac:dyDescent="0.2">
      <c r="A125">
        <v>3</v>
      </c>
      <c r="B125">
        <v>40</v>
      </c>
      <c r="C125" t="s">
        <v>142</v>
      </c>
    </row>
    <row r="126" spans="1:4" x14ac:dyDescent="0.2">
      <c r="A126">
        <v>2</v>
      </c>
      <c r="B126" t="s">
        <v>18</v>
      </c>
    </row>
    <row r="127" spans="1:4" x14ac:dyDescent="0.2">
      <c r="A127">
        <v>3</v>
      </c>
      <c r="B127">
        <v>1.6</v>
      </c>
      <c r="C127" t="s">
        <v>125</v>
      </c>
    </row>
    <row r="128" spans="1:4" x14ac:dyDescent="0.2">
      <c r="A128">
        <v>3</v>
      </c>
      <c r="B128">
        <v>2.5</v>
      </c>
      <c r="C128" t="s">
        <v>126</v>
      </c>
    </row>
    <row r="129" spans="1:4" x14ac:dyDescent="0.2">
      <c r="A129">
        <v>3</v>
      </c>
      <c r="B129">
        <v>4</v>
      </c>
      <c r="C129" t="s">
        <v>127</v>
      </c>
    </row>
    <row r="130" spans="1:4" x14ac:dyDescent="0.2">
      <c r="A130">
        <v>3</v>
      </c>
      <c r="B130">
        <v>6.3</v>
      </c>
      <c r="C130" t="s">
        <v>128</v>
      </c>
    </row>
    <row r="131" spans="1:4" x14ac:dyDescent="0.2">
      <c r="A131">
        <v>3</v>
      </c>
      <c r="B131">
        <v>10</v>
      </c>
      <c r="C131" t="s">
        <v>129</v>
      </c>
    </row>
    <row r="132" spans="1:4" x14ac:dyDescent="0.2">
      <c r="A132">
        <v>3</v>
      </c>
      <c r="B132">
        <v>16</v>
      </c>
      <c r="C132" t="s">
        <v>130</v>
      </c>
    </row>
    <row r="133" spans="1:4" x14ac:dyDescent="0.2">
      <c r="A133">
        <v>3</v>
      </c>
      <c r="B133">
        <v>25</v>
      </c>
      <c r="C133" t="s">
        <v>131</v>
      </c>
    </row>
    <row r="134" spans="1:4" x14ac:dyDescent="0.2">
      <c r="A134">
        <v>3</v>
      </c>
      <c r="B134">
        <v>40</v>
      </c>
      <c r="C134" t="s">
        <v>132</v>
      </c>
    </row>
    <row r="135" spans="1:4" x14ac:dyDescent="0.2">
      <c r="A135" s="5">
        <v>2</v>
      </c>
      <c r="B135" s="5" t="s">
        <v>77</v>
      </c>
      <c r="C135" s="6"/>
      <c r="D135" t="b">
        <v>1</v>
      </c>
    </row>
    <row r="136" spans="1:4" x14ac:dyDescent="0.2">
      <c r="A136" s="5">
        <v>3</v>
      </c>
      <c r="B136">
        <v>2.5</v>
      </c>
      <c r="C136" t="s">
        <v>78</v>
      </c>
    </row>
    <row r="137" spans="1:4" x14ac:dyDescent="0.2">
      <c r="A137" s="5">
        <v>3</v>
      </c>
      <c r="B137">
        <v>4</v>
      </c>
      <c r="C137" t="s">
        <v>79</v>
      </c>
    </row>
    <row r="138" spans="1:4" x14ac:dyDescent="0.2">
      <c r="A138" s="5">
        <v>3</v>
      </c>
      <c r="B138">
        <v>6.3</v>
      </c>
      <c r="C138" t="s">
        <v>80</v>
      </c>
    </row>
    <row r="139" spans="1:4" x14ac:dyDescent="0.2">
      <c r="A139" s="5">
        <v>3</v>
      </c>
      <c r="B139">
        <v>10</v>
      </c>
      <c r="C139" t="s">
        <v>81</v>
      </c>
    </row>
    <row r="140" spans="1:4" x14ac:dyDescent="0.2">
      <c r="A140" s="8">
        <v>3</v>
      </c>
      <c r="B140">
        <v>16</v>
      </c>
      <c r="C140" t="s">
        <v>82</v>
      </c>
    </row>
    <row r="141" spans="1:4" x14ac:dyDescent="0.2">
      <c r="A141" s="5">
        <v>3</v>
      </c>
      <c r="B141">
        <v>25</v>
      </c>
      <c r="C141" t="s">
        <v>83</v>
      </c>
    </row>
    <row r="142" spans="1:4" x14ac:dyDescent="0.2">
      <c r="A142" s="5">
        <v>3</v>
      </c>
      <c r="B142">
        <v>40</v>
      </c>
      <c r="C142" t="s">
        <v>84</v>
      </c>
    </row>
    <row r="143" spans="1:4" x14ac:dyDescent="0.2">
      <c r="A143" s="5">
        <v>2</v>
      </c>
      <c r="B143" s="5" t="s">
        <v>85</v>
      </c>
      <c r="C143" s="6"/>
    </row>
    <row r="144" spans="1:4" x14ac:dyDescent="0.2">
      <c r="A144" s="5">
        <v>3</v>
      </c>
      <c r="B144">
        <v>2.5</v>
      </c>
      <c r="C144" t="s">
        <v>86</v>
      </c>
    </row>
    <row r="145" spans="1:4" x14ac:dyDescent="0.2">
      <c r="A145" s="5">
        <v>3</v>
      </c>
      <c r="B145">
        <v>4</v>
      </c>
      <c r="C145" t="s">
        <v>87</v>
      </c>
    </row>
    <row r="146" spans="1:4" x14ac:dyDescent="0.2">
      <c r="A146" s="5">
        <v>3</v>
      </c>
      <c r="B146">
        <v>6.3</v>
      </c>
      <c r="C146" t="s">
        <v>88</v>
      </c>
    </row>
    <row r="147" spans="1:4" x14ac:dyDescent="0.2">
      <c r="A147" s="5">
        <v>3</v>
      </c>
      <c r="B147">
        <v>10</v>
      </c>
      <c r="C147" t="s">
        <v>89</v>
      </c>
    </row>
    <row r="148" spans="1:4" x14ac:dyDescent="0.2">
      <c r="A148" s="5">
        <v>3</v>
      </c>
      <c r="B148">
        <v>16</v>
      </c>
      <c r="C148" t="s">
        <v>90</v>
      </c>
    </row>
    <row r="149" spans="1:4" x14ac:dyDescent="0.2">
      <c r="A149" s="5">
        <v>3</v>
      </c>
      <c r="B149">
        <v>25</v>
      </c>
      <c r="C149" t="s">
        <v>91</v>
      </c>
    </row>
    <row r="150" spans="1:4" x14ac:dyDescent="0.2">
      <c r="A150" s="5">
        <v>3</v>
      </c>
      <c r="B150">
        <v>40</v>
      </c>
      <c r="C150" t="s">
        <v>92</v>
      </c>
    </row>
    <row r="151" spans="1:4" x14ac:dyDescent="0.2">
      <c r="A151" s="5">
        <v>2</v>
      </c>
      <c r="B151" t="s">
        <v>93</v>
      </c>
      <c r="D151" t="b">
        <v>1</v>
      </c>
    </row>
    <row r="152" spans="1:4" x14ac:dyDescent="0.2">
      <c r="A152" s="5">
        <v>3</v>
      </c>
      <c r="B152" s="9" t="s">
        <v>423</v>
      </c>
      <c r="C152" t="s">
        <v>95</v>
      </c>
    </row>
    <row r="153" spans="1:4" x14ac:dyDescent="0.2">
      <c r="A153" s="5">
        <v>3</v>
      </c>
      <c r="B153" s="9" t="s">
        <v>376</v>
      </c>
      <c r="C153" t="s">
        <v>222</v>
      </c>
    </row>
    <row r="154" spans="1:4" x14ac:dyDescent="0.2">
      <c r="A154">
        <v>3</v>
      </c>
      <c r="B154" s="9" t="s">
        <v>424</v>
      </c>
      <c r="C154" t="s">
        <v>96</v>
      </c>
    </row>
    <row r="155" spans="1:4" x14ac:dyDescent="0.2">
      <c r="A155">
        <v>3</v>
      </c>
      <c r="B155" s="9" t="s">
        <v>351</v>
      </c>
      <c r="C155" t="s">
        <v>223</v>
      </c>
    </row>
    <row r="156" spans="1:4" x14ac:dyDescent="0.2">
      <c r="A156">
        <v>3</v>
      </c>
      <c r="B156" s="9" t="s">
        <v>425</v>
      </c>
      <c r="C156" t="s">
        <v>97</v>
      </c>
    </row>
    <row r="157" spans="1:4" x14ac:dyDescent="0.2">
      <c r="A157">
        <v>3</v>
      </c>
      <c r="B157" s="9" t="s">
        <v>352</v>
      </c>
      <c r="C157" t="s">
        <v>224</v>
      </c>
    </row>
    <row r="158" spans="1:4" x14ac:dyDescent="0.2">
      <c r="A158">
        <v>3</v>
      </c>
      <c r="B158" s="9" t="s">
        <v>426</v>
      </c>
      <c r="C158" t="s">
        <v>98</v>
      </c>
    </row>
    <row r="159" spans="1:4" x14ac:dyDescent="0.2">
      <c r="A159">
        <v>3</v>
      </c>
      <c r="B159" s="9" t="s">
        <v>353</v>
      </c>
      <c r="C159" t="s">
        <v>225</v>
      </c>
    </row>
    <row r="160" spans="1:4" x14ac:dyDescent="0.2">
      <c r="A160">
        <v>3</v>
      </c>
      <c r="B160" s="9" t="s">
        <v>354</v>
      </c>
      <c r="C160" t="s">
        <v>99</v>
      </c>
    </row>
    <row r="161" spans="1:3" x14ac:dyDescent="0.2">
      <c r="A161">
        <v>3</v>
      </c>
      <c r="B161" s="9" t="s">
        <v>420</v>
      </c>
      <c r="C161" t="s">
        <v>226</v>
      </c>
    </row>
    <row r="162" spans="1:3" x14ac:dyDescent="0.2">
      <c r="A162">
        <v>3</v>
      </c>
      <c r="B162" s="9" t="s">
        <v>427</v>
      </c>
      <c r="C162" t="s">
        <v>100</v>
      </c>
    </row>
    <row r="163" spans="1:3" x14ac:dyDescent="0.2">
      <c r="A163">
        <v>3</v>
      </c>
      <c r="B163" s="9" t="s">
        <v>421</v>
      </c>
      <c r="C163" t="s">
        <v>227</v>
      </c>
    </row>
    <row r="164" spans="1:3" x14ac:dyDescent="0.2">
      <c r="A164">
        <v>2</v>
      </c>
      <c r="B164" t="s">
        <v>94</v>
      </c>
    </row>
    <row r="165" spans="1:3" x14ac:dyDescent="0.2">
      <c r="A165" s="5">
        <v>3</v>
      </c>
      <c r="B165" s="9" t="s">
        <v>423</v>
      </c>
      <c r="C165" t="s">
        <v>101</v>
      </c>
    </row>
    <row r="166" spans="1:3" x14ac:dyDescent="0.2">
      <c r="A166" s="5">
        <v>3</v>
      </c>
      <c r="B166" s="9" t="s">
        <v>376</v>
      </c>
      <c r="C166" t="s">
        <v>228</v>
      </c>
    </row>
    <row r="167" spans="1:3" x14ac:dyDescent="0.2">
      <c r="A167">
        <v>3</v>
      </c>
      <c r="B167" s="9" t="s">
        <v>424</v>
      </c>
      <c r="C167" t="s">
        <v>102</v>
      </c>
    </row>
    <row r="168" spans="1:3" x14ac:dyDescent="0.2">
      <c r="A168">
        <v>3</v>
      </c>
      <c r="B168" s="9" t="s">
        <v>351</v>
      </c>
      <c r="C168" t="s">
        <v>229</v>
      </c>
    </row>
    <row r="169" spans="1:3" x14ac:dyDescent="0.2">
      <c r="A169">
        <v>3</v>
      </c>
      <c r="B169" s="9" t="s">
        <v>425</v>
      </c>
      <c r="C169" t="s">
        <v>103</v>
      </c>
    </row>
    <row r="170" spans="1:3" x14ac:dyDescent="0.2">
      <c r="A170">
        <v>3</v>
      </c>
      <c r="B170" s="9" t="s">
        <v>352</v>
      </c>
      <c r="C170" t="s">
        <v>230</v>
      </c>
    </row>
    <row r="171" spans="1:3" x14ac:dyDescent="0.2">
      <c r="A171">
        <v>3</v>
      </c>
      <c r="B171" s="9" t="s">
        <v>426</v>
      </c>
      <c r="C171" t="s">
        <v>104</v>
      </c>
    </row>
    <row r="172" spans="1:3" x14ac:dyDescent="0.2">
      <c r="A172">
        <v>3</v>
      </c>
      <c r="B172" s="9" t="s">
        <v>353</v>
      </c>
      <c r="C172" t="s">
        <v>231</v>
      </c>
    </row>
    <row r="173" spans="1:3" x14ac:dyDescent="0.2">
      <c r="A173">
        <v>3</v>
      </c>
      <c r="B173" s="9" t="s">
        <v>354</v>
      </c>
      <c r="C173" t="s">
        <v>105</v>
      </c>
    </row>
    <row r="174" spans="1:3" x14ac:dyDescent="0.2">
      <c r="A174">
        <v>3</v>
      </c>
      <c r="B174" s="9" t="s">
        <v>420</v>
      </c>
      <c r="C174" t="s">
        <v>232</v>
      </c>
    </row>
    <row r="175" spans="1:3" x14ac:dyDescent="0.2">
      <c r="A175">
        <v>3</v>
      </c>
      <c r="B175" s="9" t="s">
        <v>427</v>
      </c>
      <c r="C175" t="s">
        <v>106</v>
      </c>
    </row>
    <row r="176" spans="1:3" x14ac:dyDescent="0.2">
      <c r="A176">
        <v>3</v>
      </c>
      <c r="B176" s="9" t="s">
        <v>421</v>
      </c>
      <c r="C176" t="s">
        <v>233</v>
      </c>
    </row>
    <row r="177" spans="1:4" x14ac:dyDescent="0.2">
      <c r="A177" s="5">
        <v>2</v>
      </c>
      <c r="B177" t="s">
        <v>400</v>
      </c>
      <c r="D177" t="b">
        <v>1</v>
      </c>
    </row>
    <row r="178" spans="1:4" x14ac:dyDescent="0.2">
      <c r="A178" s="5">
        <v>3</v>
      </c>
      <c r="B178" s="9" t="s">
        <v>417</v>
      </c>
      <c r="C178" t="s">
        <v>403</v>
      </c>
    </row>
    <row r="179" spans="1:4" x14ac:dyDescent="0.2">
      <c r="A179">
        <v>3</v>
      </c>
      <c r="B179" s="9" t="s">
        <v>351</v>
      </c>
      <c r="C179" t="s">
        <v>404</v>
      </c>
    </row>
    <row r="180" spans="1:4" x14ac:dyDescent="0.2">
      <c r="A180">
        <v>3</v>
      </c>
      <c r="B180" s="9" t="s">
        <v>418</v>
      </c>
      <c r="C180" t="s">
        <v>405</v>
      </c>
    </row>
    <row r="181" spans="1:4" x14ac:dyDescent="0.2">
      <c r="A181">
        <v>3</v>
      </c>
      <c r="B181" s="9" t="s">
        <v>352</v>
      </c>
      <c r="C181" t="s">
        <v>406</v>
      </c>
    </row>
    <row r="182" spans="1:4" x14ac:dyDescent="0.2">
      <c r="A182">
        <v>3</v>
      </c>
      <c r="B182" s="9" t="s">
        <v>419</v>
      </c>
      <c r="C182" t="s">
        <v>407</v>
      </c>
    </row>
    <row r="183" spans="1:4" x14ac:dyDescent="0.2">
      <c r="A183" s="5">
        <v>3</v>
      </c>
      <c r="B183" s="9" t="s">
        <v>353</v>
      </c>
      <c r="C183" t="s">
        <v>408</v>
      </c>
    </row>
    <row r="184" spans="1:4" x14ac:dyDescent="0.2">
      <c r="A184">
        <v>3</v>
      </c>
      <c r="B184" s="9" t="s">
        <v>354</v>
      </c>
      <c r="C184" t="s">
        <v>402</v>
      </c>
    </row>
    <row r="185" spans="1:4" x14ac:dyDescent="0.2">
      <c r="A185">
        <v>3</v>
      </c>
      <c r="B185" s="9" t="s">
        <v>420</v>
      </c>
      <c r="C185" t="s">
        <v>409</v>
      </c>
    </row>
    <row r="186" spans="1:4" x14ac:dyDescent="0.2">
      <c r="A186">
        <v>3</v>
      </c>
      <c r="B186" s="9" t="s">
        <v>421</v>
      </c>
      <c r="C186" t="s">
        <v>410</v>
      </c>
    </row>
    <row r="187" spans="1:4" x14ac:dyDescent="0.2">
      <c r="A187">
        <v>3</v>
      </c>
      <c r="B187" s="9" t="s">
        <v>422</v>
      </c>
      <c r="C187" t="s">
        <v>411</v>
      </c>
    </row>
    <row r="188" spans="1:4" x14ac:dyDescent="0.2">
      <c r="A188">
        <v>3</v>
      </c>
      <c r="B188" s="81" t="s">
        <v>813</v>
      </c>
    </row>
    <row r="189" spans="1:4" x14ac:dyDescent="0.2">
      <c r="A189">
        <v>3</v>
      </c>
      <c r="B189" s="81" t="s">
        <v>816</v>
      </c>
      <c r="C189" s="80" t="s">
        <v>814</v>
      </c>
    </row>
    <row r="190" spans="1:4" x14ac:dyDescent="0.2">
      <c r="A190">
        <v>3</v>
      </c>
      <c r="B190" s="81" t="s">
        <v>812</v>
      </c>
      <c r="C190" s="80" t="s">
        <v>815</v>
      </c>
    </row>
    <row r="191" spans="1:4" x14ac:dyDescent="0.2">
      <c r="A191" s="5">
        <v>3</v>
      </c>
      <c r="B191" s="81" t="s">
        <v>843</v>
      </c>
      <c r="C191" s="80" t="s">
        <v>844</v>
      </c>
    </row>
    <row r="192" spans="1:4" x14ac:dyDescent="0.2">
      <c r="A192">
        <v>3</v>
      </c>
      <c r="B192" s="81" t="s">
        <v>845</v>
      </c>
      <c r="C192" s="80" t="s">
        <v>846</v>
      </c>
    </row>
    <row r="193" spans="1:4" x14ac:dyDescent="0.2">
      <c r="A193">
        <v>3</v>
      </c>
      <c r="B193" s="81" t="s">
        <v>847</v>
      </c>
      <c r="C193" s="80" t="s">
        <v>848</v>
      </c>
    </row>
    <row r="194" spans="1:4" x14ac:dyDescent="0.2">
      <c r="A194">
        <v>2</v>
      </c>
      <c r="B194" t="s">
        <v>401</v>
      </c>
    </row>
    <row r="195" spans="1:4" x14ac:dyDescent="0.2">
      <c r="A195" s="5">
        <v>3</v>
      </c>
      <c r="B195" s="9" t="s">
        <v>351</v>
      </c>
      <c r="C195" t="s">
        <v>412</v>
      </c>
    </row>
    <row r="196" spans="1:4" x14ac:dyDescent="0.2">
      <c r="A196">
        <v>3</v>
      </c>
      <c r="B196" s="9" t="s">
        <v>352</v>
      </c>
      <c r="C196" t="s">
        <v>413</v>
      </c>
    </row>
    <row r="197" spans="1:4" x14ac:dyDescent="0.2">
      <c r="A197">
        <v>3</v>
      </c>
      <c r="B197" s="9" t="s">
        <v>353</v>
      </c>
      <c r="C197" t="s">
        <v>414</v>
      </c>
    </row>
    <row r="198" spans="1:4" x14ac:dyDescent="0.2">
      <c r="A198">
        <v>3</v>
      </c>
      <c r="B198" s="9" t="s">
        <v>420</v>
      </c>
      <c r="C198" t="s">
        <v>415</v>
      </c>
    </row>
    <row r="199" spans="1:4" x14ac:dyDescent="0.2">
      <c r="A199">
        <v>3</v>
      </c>
      <c r="B199" s="9" t="s">
        <v>422</v>
      </c>
      <c r="C199" t="s">
        <v>416</v>
      </c>
    </row>
    <row r="200" spans="1:4" x14ac:dyDescent="0.2">
      <c r="A200" s="5">
        <v>2</v>
      </c>
      <c r="B200" t="s">
        <v>428</v>
      </c>
      <c r="D200" t="b">
        <v>1</v>
      </c>
    </row>
    <row r="201" spans="1:4" x14ac:dyDescent="0.2">
      <c r="A201" s="5">
        <v>3</v>
      </c>
      <c r="B201" s="9" t="s">
        <v>430</v>
      </c>
      <c r="C201" t="s">
        <v>431</v>
      </c>
    </row>
    <row r="202" spans="1:4" x14ac:dyDescent="0.2">
      <c r="A202">
        <v>3</v>
      </c>
      <c r="B202" s="9" t="s">
        <v>432</v>
      </c>
      <c r="C202" t="s">
        <v>433</v>
      </c>
    </row>
    <row r="203" spans="1:4" x14ac:dyDescent="0.2">
      <c r="A203">
        <v>3</v>
      </c>
      <c r="B203" s="9" t="s">
        <v>434</v>
      </c>
      <c r="C203" t="s">
        <v>435</v>
      </c>
    </row>
    <row r="204" spans="1:4" x14ac:dyDescent="0.2">
      <c r="A204">
        <v>3</v>
      </c>
      <c r="B204" s="9" t="s">
        <v>436</v>
      </c>
      <c r="C204" t="s">
        <v>437</v>
      </c>
    </row>
    <row r="205" spans="1:4" x14ac:dyDescent="0.2">
      <c r="A205">
        <v>3</v>
      </c>
      <c r="B205" s="9" t="s">
        <v>438</v>
      </c>
      <c r="C205" t="s">
        <v>439</v>
      </c>
    </row>
    <row r="206" spans="1:4" x14ac:dyDescent="0.2">
      <c r="A206" s="5">
        <v>3</v>
      </c>
      <c r="B206" s="9" t="s">
        <v>440</v>
      </c>
      <c r="C206" t="s">
        <v>441</v>
      </c>
    </row>
    <row r="207" spans="1:4" x14ac:dyDescent="0.2">
      <c r="A207">
        <v>3</v>
      </c>
      <c r="B207" s="9" t="s">
        <v>442</v>
      </c>
      <c r="C207" t="s">
        <v>443</v>
      </c>
    </row>
    <row r="208" spans="1:4" x14ac:dyDescent="0.2">
      <c r="A208">
        <v>3</v>
      </c>
      <c r="B208" s="9" t="s">
        <v>444</v>
      </c>
      <c r="C208" t="s">
        <v>445</v>
      </c>
    </row>
    <row r="209" spans="1:3" x14ac:dyDescent="0.2">
      <c r="A209">
        <v>3</v>
      </c>
      <c r="B209" s="9" t="s">
        <v>446</v>
      </c>
      <c r="C209" t="s">
        <v>447</v>
      </c>
    </row>
    <row r="210" spans="1:3" x14ac:dyDescent="0.2">
      <c r="A210">
        <v>3</v>
      </c>
      <c r="B210" s="9" t="s">
        <v>448</v>
      </c>
      <c r="C210" t="s">
        <v>449</v>
      </c>
    </row>
    <row r="211" spans="1:3" x14ac:dyDescent="0.2">
      <c r="A211" s="5">
        <v>3</v>
      </c>
      <c r="B211" s="9" t="s">
        <v>155</v>
      </c>
      <c r="C211" t="s">
        <v>450</v>
      </c>
    </row>
    <row r="212" spans="1:3" x14ac:dyDescent="0.2">
      <c r="A212">
        <v>3</v>
      </c>
      <c r="B212" s="9" t="s">
        <v>451</v>
      </c>
      <c r="C212" t="s">
        <v>452</v>
      </c>
    </row>
    <row r="213" spans="1:3" x14ac:dyDescent="0.2">
      <c r="A213">
        <v>3</v>
      </c>
      <c r="B213" s="9" t="s">
        <v>156</v>
      </c>
      <c r="C213" t="s">
        <v>453</v>
      </c>
    </row>
    <row r="214" spans="1:3" x14ac:dyDescent="0.2">
      <c r="A214">
        <v>3</v>
      </c>
      <c r="B214" s="9" t="s">
        <v>454</v>
      </c>
      <c r="C214" t="s">
        <v>455</v>
      </c>
    </row>
    <row r="215" spans="1:3" x14ac:dyDescent="0.2">
      <c r="A215">
        <v>3</v>
      </c>
      <c r="B215" s="9" t="s">
        <v>157</v>
      </c>
      <c r="C215" t="s">
        <v>456</v>
      </c>
    </row>
    <row r="216" spans="1:3" x14ac:dyDescent="0.2">
      <c r="A216" s="5">
        <v>3</v>
      </c>
      <c r="B216" s="9" t="s">
        <v>158</v>
      </c>
      <c r="C216" t="s">
        <v>457</v>
      </c>
    </row>
    <row r="217" spans="1:3" x14ac:dyDescent="0.2">
      <c r="A217">
        <v>3</v>
      </c>
      <c r="B217" s="9" t="s">
        <v>458</v>
      </c>
      <c r="C217" t="s">
        <v>459</v>
      </c>
    </row>
    <row r="218" spans="1:3" x14ac:dyDescent="0.2">
      <c r="A218">
        <v>3</v>
      </c>
      <c r="B218" s="9" t="s">
        <v>460</v>
      </c>
      <c r="C218" t="s">
        <v>461</v>
      </c>
    </row>
    <row r="219" spans="1:3" x14ac:dyDescent="0.2">
      <c r="A219">
        <v>3</v>
      </c>
      <c r="B219" s="9" t="s">
        <v>462</v>
      </c>
      <c r="C219" t="s">
        <v>463</v>
      </c>
    </row>
    <row r="220" spans="1:3" x14ac:dyDescent="0.2">
      <c r="A220">
        <v>3</v>
      </c>
      <c r="B220" s="9" t="s">
        <v>373</v>
      </c>
      <c r="C220" t="s">
        <v>464</v>
      </c>
    </row>
    <row r="221" spans="1:3" x14ac:dyDescent="0.2">
      <c r="A221" s="5">
        <v>3</v>
      </c>
      <c r="B221" s="9" t="s">
        <v>374</v>
      </c>
      <c r="C221" t="s">
        <v>465</v>
      </c>
    </row>
    <row r="222" spans="1:3" x14ac:dyDescent="0.2">
      <c r="A222">
        <v>3</v>
      </c>
      <c r="B222" s="9" t="s">
        <v>466</v>
      </c>
      <c r="C222" t="s">
        <v>467</v>
      </c>
    </row>
    <row r="223" spans="1:3" x14ac:dyDescent="0.2">
      <c r="A223">
        <v>3</v>
      </c>
      <c r="B223" s="9" t="s">
        <v>468</v>
      </c>
      <c r="C223" t="s">
        <v>469</v>
      </c>
    </row>
    <row r="224" spans="1:3" x14ac:dyDescent="0.2">
      <c r="A224">
        <v>3</v>
      </c>
      <c r="B224" s="9" t="s">
        <v>470</v>
      </c>
      <c r="C224" t="s">
        <v>471</v>
      </c>
    </row>
    <row r="225" spans="1:3" x14ac:dyDescent="0.2">
      <c r="A225">
        <v>3</v>
      </c>
      <c r="B225" s="9" t="s">
        <v>375</v>
      </c>
      <c r="C225" t="s">
        <v>472</v>
      </c>
    </row>
    <row r="226" spans="1:3" x14ac:dyDescent="0.2">
      <c r="A226" s="5">
        <v>3</v>
      </c>
      <c r="B226" s="9" t="s">
        <v>473</v>
      </c>
      <c r="C226" t="s">
        <v>474</v>
      </c>
    </row>
    <row r="227" spans="1:3" x14ac:dyDescent="0.2">
      <c r="A227">
        <v>3</v>
      </c>
      <c r="B227" s="9" t="s">
        <v>376</v>
      </c>
      <c r="C227" t="s">
        <v>475</v>
      </c>
    </row>
    <row r="228" spans="1:3" x14ac:dyDescent="0.2">
      <c r="A228">
        <v>3</v>
      </c>
      <c r="B228" s="9" t="s">
        <v>476</v>
      </c>
      <c r="C228" t="s">
        <v>477</v>
      </c>
    </row>
    <row r="229" spans="1:3" x14ac:dyDescent="0.2">
      <c r="A229">
        <v>3</v>
      </c>
      <c r="B229" s="9" t="s">
        <v>352</v>
      </c>
      <c r="C229" t="s">
        <v>478</v>
      </c>
    </row>
    <row r="230" spans="1:3" x14ac:dyDescent="0.2">
      <c r="A230">
        <v>3</v>
      </c>
      <c r="B230" s="9" t="s">
        <v>353</v>
      </c>
      <c r="C230" t="s">
        <v>479</v>
      </c>
    </row>
    <row r="231" spans="1:3" x14ac:dyDescent="0.2">
      <c r="A231" s="5">
        <v>3</v>
      </c>
      <c r="B231" s="9" t="s">
        <v>420</v>
      </c>
      <c r="C231" t="s">
        <v>480</v>
      </c>
    </row>
    <row r="232" spans="1:3" x14ac:dyDescent="0.2">
      <c r="A232">
        <v>3</v>
      </c>
      <c r="B232" s="9" t="s">
        <v>422</v>
      </c>
      <c r="C232" t="s">
        <v>481</v>
      </c>
    </row>
    <row r="233" spans="1:3" x14ac:dyDescent="0.2">
      <c r="A233">
        <v>3</v>
      </c>
      <c r="B233" s="81" t="s">
        <v>813</v>
      </c>
    </row>
    <row r="234" spans="1:3" x14ac:dyDescent="0.2">
      <c r="A234">
        <v>3</v>
      </c>
      <c r="B234" s="81" t="s">
        <v>811</v>
      </c>
      <c r="C234" s="80" t="s">
        <v>809</v>
      </c>
    </row>
    <row r="235" spans="1:3" x14ac:dyDescent="0.2">
      <c r="A235">
        <v>3</v>
      </c>
      <c r="B235" s="81" t="s">
        <v>816</v>
      </c>
      <c r="C235" s="80" t="s">
        <v>852</v>
      </c>
    </row>
    <row r="236" spans="1:3" x14ac:dyDescent="0.2">
      <c r="A236">
        <v>3</v>
      </c>
      <c r="B236" s="81" t="s">
        <v>812</v>
      </c>
      <c r="C236" s="80" t="s">
        <v>810</v>
      </c>
    </row>
    <row r="237" spans="1:3" x14ac:dyDescent="0.2">
      <c r="A237">
        <v>3</v>
      </c>
      <c r="B237" s="81" t="s">
        <v>843</v>
      </c>
      <c r="C237" s="80" t="s">
        <v>849</v>
      </c>
    </row>
    <row r="238" spans="1:3" x14ac:dyDescent="0.2">
      <c r="A238">
        <v>3</v>
      </c>
      <c r="B238" s="81" t="s">
        <v>845</v>
      </c>
      <c r="C238" s="80" t="s">
        <v>850</v>
      </c>
    </row>
    <row r="239" spans="1:3" x14ac:dyDescent="0.2">
      <c r="A239">
        <v>3</v>
      </c>
      <c r="B239" s="81" t="s">
        <v>847</v>
      </c>
      <c r="C239" s="80" t="s">
        <v>851</v>
      </c>
    </row>
    <row r="240" spans="1:3" x14ac:dyDescent="0.2">
      <c r="A240">
        <v>2</v>
      </c>
      <c r="B240" t="s">
        <v>429</v>
      </c>
    </row>
    <row r="241" spans="1:4" x14ac:dyDescent="0.2">
      <c r="A241" s="5">
        <v>3</v>
      </c>
      <c r="B241" s="9" t="s">
        <v>155</v>
      </c>
      <c r="C241" t="s">
        <v>482</v>
      </c>
    </row>
    <row r="242" spans="1:4" x14ac:dyDescent="0.2">
      <c r="A242">
        <v>3</v>
      </c>
      <c r="B242" s="9" t="s">
        <v>156</v>
      </c>
      <c r="C242" t="s">
        <v>483</v>
      </c>
    </row>
    <row r="243" spans="1:4" x14ac:dyDescent="0.2">
      <c r="A243">
        <v>3</v>
      </c>
      <c r="B243" s="9" t="s">
        <v>157</v>
      </c>
      <c r="C243" t="s">
        <v>484</v>
      </c>
    </row>
    <row r="244" spans="1:4" x14ac:dyDescent="0.2">
      <c r="A244">
        <v>3</v>
      </c>
      <c r="B244" s="9" t="s">
        <v>158</v>
      </c>
      <c r="C244" t="s">
        <v>485</v>
      </c>
    </row>
    <row r="245" spans="1:4" x14ac:dyDescent="0.2">
      <c r="A245">
        <v>3</v>
      </c>
      <c r="B245" s="9" t="s">
        <v>460</v>
      </c>
      <c r="C245" t="s">
        <v>486</v>
      </c>
    </row>
    <row r="246" spans="1:4" x14ac:dyDescent="0.2">
      <c r="A246" s="5">
        <v>3</v>
      </c>
      <c r="B246" s="9" t="s">
        <v>373</v>
      </c>
      <c r="C246" t="s">
        <v>487</v>
      </c>
    </row>
    <row r="247" spans="1:4" x14ac:dyDescent="0.2">
      <c r="A247">
        <v>3</v>
      </c>
      <c r="B247" s="9" t="s">
        <v>374</v>
      </c>
      <c r="C247" t="s">
        <v>488</v>
      </c>
    </row>
    <row r="248" spans="1:4" x14ac:dyDescent="0.2">
      <c r="A248">
        <v>3</v>
      </c>
      <c r="B248" s="9" t="s">
        <v>468</v>
      </c>
      <c r="C248" t="s">
        <v>489</v>
      </c>
    </row>
    <row r="249" spans="1:4" x14ac:dyDescent="0.2">
      <c r="A249">
        <v>3</v>
      </c>
      <c r="B249" s="9" t="s">
        <v>375</v>
      </c>
      <c r="C249" t="s">
        <v>490</v>
      </c>
    </row>
    <row r="250" spans="1:4" x14ac:dyDescent="0.2">
      <c r="A250">
        <v>3</v>
      </c>
      <c r="B250" s="9" t="s">
        <v>376</v>
      </c>
      <c r="C250" t="s">
        <v>491</v>
      </c>
    </row>
    <row r="251" spans="1:4" x14ac:dyDescent="0.2">
      <c r="A251" s="5">
        <v>3</v>
      </c>
      <c r="B251" s="9" t="s">
        <v>351</v>
      </c>
      <c r="C251" t="s">
        <v>492</v>
      </c>
    </row>
    <row r="252" spans="1:4" x14ac:dyDescent="0.2">
      <c r="A252">
        <v>3</v>
      </c>
      <c r="B252" s="9" t="s">
        <v>352</v>
      </c>
      <c r="C252" t="s">
        <v>493</v>
      </c>
    </row>
    <row r="253" spans="1:4" x14ac:dyDescent="0.2">
      <c r="A253">
        <v>3</v>
      </c>
      <c r="B253" s="9" t="s">
        <v>353</v>
      </c>
      <c r="C253" t="s">
        <v>494</v>
      </c>
    </row>
    <row r="254" spans="1:4" x14ac:dyDescent="0.2">
      <c r="A254">
        <v>3</v>
      </c>
      <c r="B254" s="9" t="s">
        <v>420</v>
      </c>
      <c r="C254" t="s">
        <v>495</v>
      </c>
    </row>
    <row r="255" spans="1:4" x14ac:dyDescent="0.2">
      <c r="A255">
        <v>3</v>
      </c>
      <c r="B255" s="9" t="s">
        <v>422</v>
      </c>
      <c r="C255" t="s">
        <v>496</v>
      </c>
    </row>
    <row r="256" spans="1:4" x14ac:dyDescent="0.2">
      <c r="A256">
        <v>2</v>
      </c>
      <c r="B256" t="s">
        <v>207</v>
      </c>
      <c r="D256" t="b">
        <v>1</v>
      </c>
    </row>
    <row r="257" spans="1:3" x14ac:dyDescent="0.2">
      <c r="A257">
        <v>3</v>
      </c>
      <c r="B257" s="81" t="s">
        <v>446</v>
      </c>
      <c r="C257" s="80" t="s">
        <v>778</v>
      </c>
    </row>
    <row r="258" spans="1:3" x14ac:dyDescent="0.2">
      <c r="A258">
        <v>3</v>
      </c>
      <c r="B258" s="9" t="s">
        <v>155</v>
      </c>
      <c r="C258" t="s">
        <v>161</v>
      </c>
    </row>
    <row r="259" spans="1:3" x14ac:dyDescent="0.2">
      <c r="A259">
        <v>3</v>
      </c>
      <c r="B259" s="9" t="s">
        <v>156</v>
      </c>
      <c r="C259" t="s">
        <v>162</v>
      </c>
    </row>
    <row r="260" spans="1:3" x14ac:dyDescent="0.2">
      <c r="A260">
        <v>3</v>
      </c>
      <c r="B260" s="9" t="s">
        <v>157</v>
      </c>
      <c r="C260" t="s">
        <v>160</v>
      </c>
    </row>
    <row r="261" spans="1:3" x14ac:dyDescent="0.2">
      <c r="A261">
        <v>3</v>
      </c>
      <c r="B261" s="9" t="s">
        <v>158</v>
      </c>
      <c r="C261" t="s">
        <v>163</v>
      </c>
    </row>
    <row r="262" spans="1:3" x14ac:dyDescent="0.2">
      <c r="A262">
        <v>3</v>
      </c>
      <c r="B262" s="81" t="s">
        <v>373</v>
      </c>
      <c r="C262" s="80" t="s">
        <v>779</v>
      </c>
    </row>
    <row r="263" spans="1:3" x14ac:dyDescent="0.2">
      <c r="A263">
        <v>3</v>
      </c>
      <c r="B263" s="81" t="s">
        <v>374</v>
      </c>
      <c r="C263" s="80" t="s">
        <v>780</v>
      </c>
    </row>
    <row r="264" spans="1:3" x14ac:dyDescent="0.2">
      <c r="A264">
        <v>3</v>
      </c>
      <c r="B264" s="81" t="s">
        <v>375</v>
      </c>
      <c r="C264" s="80" t="s">
        <v>781</v>
      </c>
    </row>
    <row r="265" spans="1:3" x14ac:dyDescent="0.2">
      <c r="A265">
        <v>3</v>
      </c>
      <c r="B265" s="81" t="s">
        <v>376</v>
      </c>
      <c r="C265" s="80" t="s">
        <v>782</v>
      </c>
    </row>
    <row r="266" spans="1:3" x14ac:dyDescent="0.2">
      <c r="A266">
        <v>3</v>
      </c>
      <c r="B266" s="9" t="s">
        <v>159</v>
      </c>
      <c r="C266" t="s">
        <v>164</v>
      </c>
    </row>
    <row r="267" spans="1:3" x14ac:dyDescent="0.2">
      <c r="A267">
        <v>2</v>
      </c>
      <c r="B267" t="s">
        <v>368</v>
      </c>
    </row>
    <row r="268" spans="1:3" x14ac:dyDescent="0.2">
      <c r="A268">
        <v>3</v>
      </c>
      <c r="B268" s="9" t="s">
        <v>155</v>
      </c>
      <c r="C268" t="s">
        <v>369</v>
      </c>
    </row>
    <row r="269" spans="1:3" x14ac:dyDescent="0.2">
      <c r="A269">
        <v>3</v>
      </c>
      <c r="B269" s="9" t="s">
        <v>156</v>
      </c>
      <c r="C269" t="s">
        <v>370</v>
      </c>
    </row>
    <row r="270" spans="1:3" x14ac:dyDescent="0.2">
      <c r="A270">
        <v>3</v>
      </c>
      <c r="B270" s="9" t="s">
        <v>157</v>
      </c>
      <c r="C270" t="s">
        <v>371</v>
      </c>
    </row>
    <row r="271" spans="1:3" x14ac:dyDescent="0.2">
      <c r="A271">
        <v>3</v>
      </c>
      <c r="B271" s="9" t="s">
        <v>158</v>
      </c>
      <c r="C271" t="s">
        <v>372</v>
      </c>
    </row>
    <row r="272" spans="1:3" x14ac:dyDescent="0.2">
      <c r="A272">
        <v>3</v>
      </c>
      <c r="B272" s="9" t="s">
        <v>373</v>
      </c>
      <c r="C272" t="s">
        <v>380</v>
      </c>
    </row>
    <row r="273" spans="1:4" x14ac:dyDescent="0.2">
      <c r="A273">
        <v>3</v>
      </c>
      <c r="B273" s="9" t="s">
        <v>374</v>
      </c>
      <c r="C273" t="s">
        <v>379</v>
      </c>
    </row>
    <row r="274" spans="1:4" x14ac:dyDescent="0.2">
      <c r="A274">
        <v>3</v>
      </c>
      <c r="B274" s="9" t="s">
        <v>375</v>
      </c>
      <c r="C274" t="s">
        <v>378</v>
      </c>
    </row>
    <row r="275" spans="1:4" x14ac:dyDescent="0.2">
      <c r="A275">
        <v>3</v>
      </c>
      <c r="B275" s="9" t="s">
        <v>376</v>
      </c>
      <c r="C275" t="s">
        <v>377</v>
      </c>
    </row>
    <row r="276" spans="1:4" x14ac:dyDescent="0.2">
      <c r="A276">
        <v>2</v>
      </c>
      <c r="B276" s="10" t="s">
        <v>356</v>
      </c>
      <c r="D276" t="b">
        <v>1</v>
      </c>
    </row>
    <row r="277" spans="1:4" x14ac:dyDescent="0.2">
      <c r="A277">
        <v>3</v>
      </c>
      <c r="B277" s="9" t="s">
        <v>351</v>
      </c>
      <c r="C277" t="s">
        <v>358</v>
      </c>
    </row>
    <row r="278" spans="1:4" x14ac:dyDescent="0.2">
      <c r="A278">
        <v>3</v>
      </c>
      <c r="B278" s="9" t="s">
        <v>352</v>
      </c>
      <c r="C278" t="s">
        <v>359</v>
      </c>
    </row>
    <row r="279" spans="1:4" x14ac:dyDescent="0.2">
      <c r="A279">
        <v>3</v>
      </c>
      <c r="B279" s="9" t="s">
        <v>353</v>
      </c>
      <c r="C279" t="s">
        <v>360</v>
      </c>
    </row>
    <row r="280" spans="1:4" x14ac:dyDescent="0.2">
      <c r="A280">
        <v>3</v>
      </c>
      <c r="B280" s="9" t="s">
        <v>354</v>
      </c>
      <c r="C280" t="s">
        <v>361</v>
      </c>
    </row>
    <row r="281" spans="1:4" x14ac:dyDescent="0.2">
      <c r="A281">
        <v>3</v>
      </c>
      <c r="B281" s="9" t="s">
        <v>355</v>
      </c>
      <c r="C281" t="s">
        <v>362</v>
      </c>
    </row>
    <row r="282" spans="1:4" x14ac:dyDescent="0.2">
      <c r="A282">
        <v>2</v>
      </c>
      <c r="B282" s="10" t="s">
        <v>357</v>
      </c>
    </row>
    <row r="283" spans="1:4" x14ac:dyDescent="0.2">
      <c r="A283">
        <v>3</v>
      </c>
      <c r="B283" s="9" t="s">
        <v>351</v>
      </c>
      <c r="C283" t="s">
        <v>363</v>
      </c>
    </row>
    <row r="284" spans="1:4" x14ac:dyDescent="0.2">
      <c r="A284">
        <v>3</v>
      </c>
      <c r="B284" s="9" t="s">
        <v>352</v>
      </c>
      <c r="C284" t="s">
        <v>364</v>
      </c>
    </row>
    <row r="285" spans="1:4" x14ac:dyDescent="0.2">
      <c r="A285">
        <v>3</v>
      </c>
      <c r="B285" s="9" t="s">
        <v>353</v>
      </c>
      <c r="C285" t="s">
        <v>365</v>
      </c>
    </row>
    <row r="286" spans="1:4" x14ac:dyDescent="0.2">
      <c r="A286">
        <v>3</v>
      </c>
      <c r="B286" s="9" t="s">
        <v>354</v>
      </c>
      <c r="C286" t="s">
        <v>366</v>
      </c>
    </row>
    <row r="287" spans="1:4" x14ac:dyDescent="0.2">
      <c r="A287">
        <v>3</v>
      </c>
      <c r="B287" s="9" t="s">
        <v>355</v>
      </c>
      <c r="C287" t="s">
        <v>367</v>
      </c>
    </row>
    <row r="288" spans="1:4" x14ac:dyDescent="0.2">
      <c r="A288">
        <v>2</v>
      </c>
      <c r="B288" s="10" t="s">
        <v>501</v>
      </c>
      <c r="D288" t="b">
        <v>1</v>
      </c>
    </row>
    <row r="289" spans="1:3" x14ac:dyDescent="0.2">
      <c r="A289">
        <v>3</v>
      </c>
      <c r="B289" s="9" t="s">
        <v>395</v>
      </c>
      <c r="C289" t="s">
        <v>502</v>
      </c>
    </row>
    <row r="290" spans="1:3" x14ac:dyDescent="0.2">
      <c r="A290">
        <v>3</v>
      </c>
      <c r="B290" s="9" t="s">
        <v>396</v>
      </c>
      <c r="C290" t="s">
        <v>503</v>
      </c>
    </row>
    <row r="291" spans="1:3" x14ac:dyDescent="0.2">
      <c r="A291">
        <v>3</v>
      </c>
      <c r="B291" s="9" t="s">
        <v>397</v>
      </c>
      <c r="C291" t="s">
        <v>504</v>
      </c>
    </row>
    <row r="292" spans="1:3" x14ac:dyDescent="0.2">
      <c r="A292">
        <v>3</v>
      </c>
      <c r="B292" s="9" t="s">
        <v>398</v>
      </c>
      <c r="C292" t="s">
        <v>505</v>
      </c>
    </row>
    <row r="293" spans="1:3" x14ac:dyDescent="0.2">
      <c r="A293">
        <v>3</v>
      </c>
      <c r="B293" s="9" t="s">
        <v>399</v>
      </c>
      <c r="C293" t="s">
        <v>506</v>
      </c>
    </row>
    <row r="294" spans="1:3" x14ac:dyDescent="0.2">
      <c r="A294">
        <v>3</v>
      </c>
      <c r="B294" s="9" t="s">
        <v>640</v>
      </c>
      <c r="C294" t="s">
        <v>507</v>
      </c>
    </row>
    <row r="295" spans="1:3" x14ac:dyDescent="0.2">
      <c r="A295">
        <v>3</v>
      </c>
      <c r="B295" s="9" t="s">
        <v>641</v>
      </c>
      <c r="C295" t="s">
        <v>508</v>
      </c>
    </row>
    <row r="296" spans="1:3" x14ac:dyDescent="0.2">
      <c r="A296">
        <v>3</v>
      </c>
      <c r="B296" s="9" t="s">
        <v>642</v>
      </c>
      <c r="C296" t="s">
        <v>509</v>
      </c>
    </row>
    <row r="297" spans="1:3" x14ac:dyDescent="0.2">
      <c r="A297">
        <v>3</v>
      </c>
      <c r="B297" s="9" t="s">
        <v>643</v>
      </c>
      <c r="C297" t="s">
        <v>510</v>
      </c>
    </row>
    <row r="298" spans="1:3" x14ac:dyDescent="0.2">
      <c r="A298">
        <v>3</v>
      </c>
      <c r="B298" s="9" t="s">
        <v>644</v>
      </c>
      <c r="C298" t="s">
        <v>511</v>
      </c>
    </row>
    <row r="299" spans="1:3" x14ac:dyDescent="0.2">
      <c r="A299">
        <v>3</v>
      </c>
      <c r="B299" s="9" t="s">
        <v>645</v>
      </c>
      <c r="C299" t="s">
        <v>512</v>
      </c>
    </row>
    <row r="300" spans="1:3" x14ac:dyDescent="0.2">
      <c r="A300">
        <v>3</v>
      </c>
      <c r="B300" s="9" t="s">
        <v>646</v>
      </c>
      <c r="C300" t="s">
        <v>513</v>
      </c>
    </row>
    <row r="301" spans="1:3" x14ac:dyDescent="0.2">
      <c r="A301">
        <v>3</v>
      </c>
      <c r="B301" s="9" t="s">
        <v>647</v>
      </c>
      <c r="C301" t="s">
        <v>514</v>
      </c>
    </row>
    <row r="302" spans="1:3" x14ac:dyDescent="0.2">
      <c r="A302">
        <v>3</v>
      </c>
      <c r="B302" s="9" t="s">
        <v>648</v>
      </c>
      <c r="C302" t="s">
        <v>515</v>
      </c>
    </row>
    <row r="303" spans="1:3" x14ac:dyDescent="0.2">
      <c r="A303">
        <v>2</v>
      </c>
      <c r="B303" s="10" t="s">
        <v>530</v>
      </c>
    </row>
    <row r="304" spans="1:3" x14ac:dyDescent="0.2">
      <c r="A304">
        <v>3</v>
      </c>
      <c r="B304" s="9" t="s">
        <v>531</v>
      </c>
      <c r="C304" t="s">
        <v>516</v>
      </c>
    </row>
    <row r="305" spans="1:4" x14ac:dyDescent="0.2">
      <c r="A305">
        <v>3</v>
      </c>
      <c r="B305" s="9" t="s">
        <v>532</v>
      </c>
      <c r="C305" t="s">
        <v>517</v>
      </c>
    </row>
    <row r="306" spans="1:4" x14ac:dyDescent="0.2">
      <c r="A306">
        <v>3</v>
      </c>
      <c r="B306" s="9" t="s">
        <v>533</v>
      </c>
      <c r="C306" t="s">
        <v>518</v>
      </c>
    </row>
    <row r="307" spans="1:4" x14ac:dyDescent="0.2">
      <c r="A307">
        <v>3</v>
      </c>
      <c r="B307" s="9" t="s">
        <v>534</v>
      </c>
      <c r="C307" t="s">
        <v>519</v>
      </c>
    </row>
    <row r="308" spans="1:4" x14ac:dyDescent="0.2">
      <c r="A308">
        <v>3</v>
      </c>
      <c r="B308" s="9" t="s">
        <v>535</v>
      </c>
      <c r="C308" t="s">
        <v>520</v>
      </c>
    </row>
    <row r="309" spans="1:4" x14ac:dyDescent="0.2">
      <c r="A309">
        <v>3</v>
      </c>
      <c r="B309" s="9" t="s">
        <v>649</v>
      </c>
      <c r="C309" t="s">
        <v>521</v>
      </c>
    </row>
    <row r="310" spans="1:4" x14ac:dyDescent="0.2">
      <c r="A310">
        <v>3</v>
      </c>
      <c r="B310" s="9" t="s">
        <v>650</v>
      </c>
      <c r="C310" t="s">
        <v>522</v>
      </c>
    </row>
    <row r="311" spans="1:4" x14ac:dyDescent="0.2">
      <c r="A311">
        <v>3</v>
      </c>
      <c r="B311" s="9" t="s">
        <v>651</v>
      </c>
      <c r="C311" t="s">
        <v>523</v>
      </c>
    </row>
    <row r="312" spans="1:4" x14ac:dyDescent="0.2">
      <c r="A312">
        <v>3</v>
      </c>
      <c r="B312" s="9" t="s">
        <v>652</v>
      </c>
      <c r="C312" t="s">
        <v>524</v>
      </c>
    </row>
    <row r="313" spans="1:4" x14ac:dyDescent="0.2">
      <c r="A313">
        <v>3</v>
      </c>
      <c r="B313" s="9" t="s">
        <v>653</v>
      </c>
      <c r="C313" t="s">
        <v>525</v>
      </c>
    </row>
    <row r="314" spans="1:4" x14ac:dyDescent="0.2">
      <c r="A314">
        <v>3</v>
      </c>
      <c r="B314" s="9" t="s">
        <v>654</v>
      </c>
      <c r="C314" t="s">
        <v>526</v>
      </c>
    </row>
    <row r="315" spans="1:4" x14ac:dyDescent="0.2">
      <c r="A315">
        <v>3</v>
      </c>
      <c r="B315" s="9" t="s">
        <v>655</v>
      </c>
      <c r="C315" t="s">
        <v>527</v>
      </c>
    </row>
    <row r="316" spans="1:4" x14ac:dyDescent="0.2">
      <c r="A316">
        <v>3</v>
      </c>
      <c r="B316" s="9" t="s">
        <v>656</v>
      </c>
      <c r="C316" t="s">
        <v>528</v>
      </c>
    </row>
    <row r="317" spans="1:4" x14ac:dyDescent="0.2">
      <c r="A317">
        <v>3</v>
      </c>
      <c r="B317" s="9" t="s">
        <v>657</v>
      </c>
      <c r="C317" t="s">
        <v>529</v>
      </c>
    </row>
    <row r="318" spans="1:4" x14ac:dyDescent="0.2">
      <c r="A318">
        <v>2</v>
      </c>
      <c r="B318" s="10" t="s">
        <v>542</v>
      </c>
      <c r="D318" t="b">
        <v>1</v>
      </c>
    </row>
    <row r="319" spans="1:4" x14ac:dyDescent="0.2">
      <c r="A319">
        <v>3</v>
      </c>
      <c r="B319" s="9" t="s">
        <v>120</v>
      </c>
      <c r="C319" t="s">
        <v>536</v>
      </c>
    </row>
    <row r="320" spans="1:4" x14ac:dyDescent="0.2">
      <c r="A320">
        <v>3</v>
      </c>
      <c r="B320" s="9" t="s">
        <v>121</v>
      </c>
      <c r="C320" t="s">
        <v>537</v>
      </c>
    </row>
    <row r="321" spans="1:3" x14ac:dyDescent="0.2">
      <c r="A321">
        <v>3</v>
      </c>
      <c r="B321" s="9" t="s">
        <v>122</v>
      </c>
      <c r="C321" t="s">
        <v>538</v>
      </c>
    </row>
    <row r="322" spans="1:3" x14ac:dyDescent="0.2">
      <c r="A322">
        <v>3</v>
      </c>
      <c r="B322" s="9" t="s">
        <v>123</v>
      </c>
      <c r="C322" t="s">
        <v>539</v>
      </c>
    </row>
    <row r="323" spans="1:3" x14ac:dyDescent="0.2">
      <c r="A323">
        <v>3</v>
      </c>
      <c r="B323" s="9" t="s">
        <v>124</v>
      </c>
      <c r="C323" t="s">
        <v>540</v>
      </c>
    </row>
    <row r="324" spans="1:3" x14ac:dyDescent="0.2">
      <c r="A324">
        <v>3</v>
      </c>
      <c r="B324" s="9" t="s">
        <v>658</v>
      </c>
      <c r="C324" t="s">
        <v>541</v>
      </c>
    </row>
    <row r="325" spans="1:3" x14ac:dyDescent="0.2">
      <c r="A325">
        <v>3</v>
      </c>
      <c r="B325" s="9" t="s">
        <v>659</v>
      </c>
      <c r="C325" t="s">
        <v>549</v>
      </c>
    </row>
    <row r="326" spans="1:3" x14ac:dyDescent="0.2">
      <c r="A326">
        <v>2</v>
      </c>
      <c r="B326" s="10" t="s">
        <v>559</v>
      </c>
    </row>
    <row r="327" spans="1:3" x14ac:dyDescent="0.2">
      <c r="A327">
        <v>3</v>
      </c>
      <c r="B327" s="9" t="s">
        <v>120</v>
      </c>
      <c r="C327" t="s">
        <v>543</v>
      </c>
    </row>
    <row r="328" spans="1:3" x14ac:dyDescent="0.2">
      <c r="A328">
        <v>3</v>
      </c>
      <c r="B328" s="9" t="s">
        <v>121</v>
      </c>
      <c r="C328" t="s">
        <v>544</v>
      </c>
    </row>
    <row r="329" spans="1:3" x14ac:dyDescent="0.2">
      <c r="A329">
        <v>3</v>
      </c>
      <c r="B329" s="9" t="s">
        <v>122</v>
      </c>
      <c r="C329" t="s">
        <v>545</v>
      </c>
    </row>
    <row r="330" spans="1:3" x14ac:dyDescent="0.2">
      <c r="A330">
        <v>3</v>
      </c>
      <c r="B330" s="9" t="s">
        <v>123</v>
      </c>
      <c r="C330" t="s">
        <v>546</v>
      </c>
    </row>
    <row r="331" spans="1:3" x14ac:dyDescent="0.2">
      <c r="A331">
        <v>3</v>
      </c>
      <c r="B331" s="9" t="s">
        <v>124</v>
      </c>
      <c r="C331" t="s">
        <v>547</v>
      </c>
    </row>
    <row r="332" spans="1:3" x14ac:dyDescent="0.2">
      <c r="A332">
        <v>3</v>
      </c>
      <c r="B332" s="9" t="s">
        <v>658</v>
      </c>
      <c r="C332" t="s">
        <v>548</v>
      </c>
    </row>
    <row r="333" spans="1:3" x14ac:dyDescent="0.2">
      <c r="A333">
        <v>3</v>
      </c>
      <c r="B333" s="9" t="s">
        <v>659</v>
      </c>
      <c r="C333" t="s">
        <v>550</v>
      </c>
    </row>
    <row r="334" spans="1:3" x14ac:dyDescent="0.2">
      <c r="A334">
        <v>3</v>
      </c>
      <c r="B334" s="9" t="s">
        <v>660</v>
      </c>
      <c r="C334" t="s">
        <v>551</v>
      </c>
    </row>
    <row r="335" spans="1:3" x14ac:dyDescent="0.2">
      <c r="A335">
        <v>3</v>
      </c>
      <c r="B335" s="9" t="s">
        <v>661</v>
      </c>
      <c r="C335" t="s">
        <v>552</v>
      </c>
    </row>
    <row r="336" spans="1:3" x14ac:dyDescent="0.2">
      <c r="A336">
        <v>3</v>
      </c>
      <c r="B336" s="9" t="s">
        <v>662</v>
      </c>
      <c r="C336" t="s">
        <v>553</v>
      </c>
    </row>
    <row r="337" spans="1:4" x14ac:dyDescent="0.2">
      <c r="A337">
        <v>3</v>
      </c>
      <c r="B337" s="9" t="s">
        <v>663</v>
      </c>
      <c r="C337" t="s">
        <v>554</v>
      </c>
    </row>
    <row r="338" spans="1:4" x14ac:dyDescent="0.2">
      <c r="A338">
        <v>3</v>
      </c>
      <c r="B338" s="9" t="s">
        <v>664</v>
      </c>
      <c r="C338" t="s">
        <v>555</v>
      </c>
    </row>
    <row r="339" spans="1:4" x14ac:dyDescent="0.2">
      <c r="A339">
        <v>3</v>
      </c>
      <c r="B339" s="9" t="s">
        <v>665</v>
      </c>
      <c r="C339" t="s">
        <v>556</v>
      </c>
    </row>
    <row r="340" spans="1:4" x14ac:dyDescent="0.2">
      <c r="A340">
        <v>3</v>
      </c>
      <c r="B340" s="9" t="s">
        <v>666</v>
      </c>
      <c r="C340" t="s">
        <v>557</v>
      </c>
    </row>
    <row r="341" spans="1:4" x14ac:dyDescent="0.2">
      <c r="A341">
        <v>3</v>
      </c>
      <c r="B341" s="9" t="s">
        <v>667</v>
      </c>
      <c r="C341" t="s">
        <v>558</v>
      </c>
    </row>
    <row r="342" spans="1:4" x14ac:dyDescent="0.2">
      <c r="A342">
        <v>2</v>
      </c>
      <c r="B342" t="s">
        <v>272</v>
      </c>
      <c r="D342" t="b">
        <v>1</v>
      </c>
    </row>
    <row r="343" spans="1:4" x14ac:dyDescent="0.2">
      <c r="A343">
        <v>3</v>
      </c>
      <c r="B343" s="9" t="s">
        <v>280</v>
      </c>
      <c r="C343" t="s">
        <v>296</v>
      </c>
    </row>
    <row r="344" spans="1:4" x14ac:dyDescent="0.2">
      <c r="A344">
        <v>3</v>
      </c>
      <c r="B344" s="9" t="s">
        <v>281</v>
      </c>
      <c r="C344" t="s">
        <v>297</v>
      </c>
    </row>
    <row r="345" spans="1:4" x14ac:dyDescent="0.2">
      <c r="A345">
        <v>3</v>
      </c>
      <c r="B345" s="9" t="s">
        <v>316</v>
      </c>
      <c r="C345" t="s">
        <v>298</v>
      </c>
    </row>
    <row r="346" spans="1:4" x14ac:dyDescent="0.2">
      <c r="A346">
        <v>3</v>
      </c>
      <c r="B346" s="9" t="s">
        <v>107</v>
      </c>
      <c r="C346" t="s">
        <v>241</v>
      </c>
    </row>
    <row r="347" spans="1:4" x14ac:dyDescent="0.2">
      <c r="A347">
        <v>3</v>
      </c>
      <c r="B347" s="9" t="s">
        <v>108</v>
      </c>
      <c r="C347" t="s">
        <v>242</v>
      </c>
    </row>
    <row r="348" spans="1:4" x14ac:dyDescent="0.2">
      <c r="A348">
        <v>3</v>
      </c>
      <c r="B348" s="9" t="s">
        <v>249</v>
      </c>
      <c r="C348" t="s">
        <v>243</v>
      </c>
    </row>
    <row r="349" spans="1:4" x14ac:dyDescent="0.2">
      <c r="A349">
        <v>3</v>
      </c>
      <c r="B349" s="9" t="s">
        <v>317</v>
      </c>
      <c r="C349" t="s">
        <v>299</v>
      </c>
    </row>
    <row r="350" spans="1:4" x14ac:dyDescent="0.2">
      <c r="A350">
        <v>3</v>
      </c>
      <c r="B350" s="9" t="s">
        <v>283</v>
      </c>
      <c r="C350" t="s">
        <v>300</v>
      </c>
    </row>
    <row r="351" spans="1:4" x14ac:dyDescent="0.2">
      <c r="A351">
        <v>3</v>
      </c>
      <c r="B351" s="9" t="s">
        <v>381</v>
      </c>
      <c r="C351" t="s">
        <v>301</v>
      </c>
    </row>
    <row r="352" spans="1:4" x14ac:dyDescent="0.2">
      <c r="A352">
        <v>3</v>
      </c>
      <c r="B352" s="9" t="s">
        <v>143</v>
      </c>
      <c r="C352" t="s">
        <v>244</v>
      </c>
    </row>
    <row r="353" spans="1:3" x14ac:dyDescent="0.2">
      <c r="A353">
        <v>3</v>
      </c>
      <c r="B353" s="9" t="s">
        <v>319</v>
      </c>
      <c r="C353" t="s">
        <v>302</v>
      </c>
    </row>
    <row r="354" spans="1:3" x14ac:dyDescent="0.2">
      <c r="A354">
        <v>3</v>
      </c>
      <c r="B354" s="9" t="s">
        <v>320</v>
      </c>
      <c r="C354" t="s">
        <v>303</v>
      </c>
    </row>
    <row r="355" spans="1:3" x14ac:dyDescent="0.2">
      <c r="A355">
        <v>3</v>
      </c>
      <c r="B355" s="9" t="s">
        <v>321</v>
      </c>
      <c r="C355" t="s">
        <v>304</v>
      </c>
    </row>
    <row r="356" spans="1:3" x14ac:dyDescent="0.2">
      <c r="A356">
        <v>3</v>
      </c>
      <c r="B356" s="9" t="s">
        <v>285</v>
      </c>
      <c r="C356" t="s">
        <v>305</v>
      </c>
    </row>
    <row r="357" spans="1:3" x14ac:dyDescent="0.2">
      <c r="A357">
        <v>3</v>
      </c>
      <c r="B357" s="9" t="s">
        <v>110</v>
      </c>
      <c r="C357" t="s">
        <v>245</v>
      </c>
    </row>
    <row r="358" spans="1:3" x14ac:dyDescent="0.2">
      <c r="A358">
        <v>3</v>
      </c>
      <c r="B358" s="9" t="s">
        <v>322</v>
      </c>
      <c r="C358" t="s">
        <v>306</v>
      </c>
    </row>
    <row r="359" spans="1:3" x14ac:dyDescent="0.2">
      <c r="A359">
        <v>3</v>
      </c>
      <c r="B359" s="9" t="s">
        <v>323</v>
      </c>
      <c r="C359" t="s">
        <v>307</v>
      </c>
    </row>
    <row r="360" spans="1:3" x14ac:dyDescent="0.2">
      <c r="A360">
        <v>3</v>
      </c>
      <c r="B360" s="9" t="s">
        <v>111</v>
      </c>
      <c r="C360" t="s">
        <v>246</v>
      </c>
    </row>
    <row r="361" spans="1:3" x14ac:dyDescent="0.2">
      <c r="A361">
        <v>3</v>
      </c>
      <c r="B361" s="9" t="s">
        <v>324</v>
      </c>
      <c r="C361" t="s">
        <v>308</v>
      </c>
    </row>
    <row r="362" spans="1:3" x14ac:dyDescent="0.2">
      <c r="A362">
        <v>3</v>
      </c>
      <c r="B362" s="9" t="s">
        <v>325</v>
      </c>
      <c r="C362" t="s">
        <v>309</v>
      </c>
    </row>
    <row r="363" spans="1:3" x14ac:dyDescent="0.2">
      <c r="A363">
        <v>3</v>
      </c>
      <c r="B363" s="9" t="s">
        <v>326</v>
      </c>
      <c r="C363" t="s">
        <v>310</v>
      </c>
    </row>
    <row r="364" spans="1:3" x14ac:dyDescent="0.2">
      <c r="A364">
        <v>3</v>
      </c>
      <c r="B364" s="9" t="s">
        <v>327</v>
      </c>
      <c r="C364" t="s">
        <v>311</v>
      </c>
    </row>
    <row r="365" spans="1:3" x14ac:dyDescent="0.2">
      <c r="A365">
        <v>3</v>
      </c>
      <c r="B365" s="9" t="s">
        <v>114</v>
      </c>
      <c r="C365" t="s">
        <v>312</v>
      </c>
    </row>
    <row r="366" spans="1:3" x14ac:dyDescent="0.2">
      <c r="A366">
        <v>3</v>
      </c>
      <c r="B366" s="9" t="s">
        <v>250</v>
      </c>
      <c r="C366" t="s">
        <v>247</v>
      </c>
    </row>
    <row r="367" spans="1:3" x14ac:dyDescent="0.2">
      <c r="A367">
        <v>3</v>
      </c>
      <c r="B367" s="9" t="s">
        <v>328</v>
      </c>
      <c r="C367" t="s">
        <v>313</v>
      </c>
    </row>
    <row r="368" spans="1:3" x14ac:dyDescent="0.2">
      <c r="A368">
        <v>3</v>
      </c>
      <c r="B368" s="9" t="s">
        <v>329</v>
      </c>
      <c r="C368" t="s">
        <v>314</v>
      </c>
    </row>
    <row r="369" spans="1:3" x14ac:dyDescent="0.2">
      <c r="A369">
        <v>3</v>
      </c>
      <c r="B369" s="9" t="s">
        <v>112</v>
      </c>
      <c r="C369" t="s">
        <v>248</v>
      </c>
    </row>
    <row r="370" spans="1:3" x14ac:dyDescent="0.2">
      <c r="A370">
        <v>3</v>
      </c>
      <c r="B370" s="9" t="s">
        <v>719</v>
      </c>
      <c r="C370" t="s">
        <v>315</v>
      </c>
    </row>
    <row r="371" spans="1:3" x14ac:dyDescent="0.2">
      <c r="A371">
        <v>3</v>
      </c>
      <c r="B371" s="9" t="s">
        <v>330</v>
      </c>
    </row>
    <row r="372" spans="1:3" x14ac:dyDescent="0.2">
      <c r="A372">
        <v>2</v>
      </c>
      <c r="B372" s="10" t="s">
        <v>273</v>
      </c>
    </row>
    <row r="373" spans="1:3" x14ac:dyDescent="0.2">
      <c r="A373">
        <v>3</v>
      </c>
      <c r="B373" s="9" t="s">
        <v>280</v>
      </c>
      <c r="C373" t="s">
        <v>331</v>
      </c>
    </row>
    <row r="374" spans="1:3" x14ac:dyDescent="0.2">
      <c r="A374">
        <v>3</v>
      </c>
      <c r="B374" s="9" t="s">
        <v>281</v>
      </c>
      <c r="C374" t="s">
        <v>332</v>
      </c>
    </row>
    <row r="375" spans="1:3" x14ac:dyDescent="0.2">
      <c r="A375">
        <v>3</v>
      </c>
      <c r="B375" s="9" t="s">
        <v>316</v>
      </c>
      <c r="C375" t="s">
        <v>333</v>
      </c>
    </row>
    <row r="376" spans="1:3" x14ac:dyDescent="0.2">
      <c r="A376">
        <v>3</v>
      </c>
      <c r="B376" s="9" t="s">
        <v>107</v>
      </c>
      <c r="C376" t="s">
        <v>251</v>
      </c>
    </row>
    <row r="377" spans="1:3" x14ac:dyDescent="0.2">
      <c r="A377">
        <v>3</v>
      </c>
      <c r="B377" s="9" t="s">
        <v>108</v>
      </c>
      <c r="C377" t="s">
        <v>252</v>
      </c>
    </row>
    <row r="378" spans="1:3" x14ac:dyDescent="0.2">
      <c r="A378">
        <v>3</v>
      </c>
      <c r="B378" s="9" t="s">
        <v>249</v>
      </c>
      <c r="C378" t="s">
        <v>253</v>
      </c>
    </row>
    <row r="379" spans="1:3" x14ac:dyDescent="0.2">
      <c r="A379">
        <v>3</v>
      </c>
      <c r="B379" s="9" t="s">
        <v>317</v>
      </c>
      <c r="C379" t="s">
        <v>334</v>
      </c>
    </row>
    <row r="380" spans="1:3" x14ac:dyDescent="0.2">
      <c r="A380">
        <v>3</v>
      </c>
      <c r="B380" s="9" t="s">
        <v>381</v>
      </c>
      <c r="C380" t="s">
        <v>335</v>
      </c>
    </row>
    <row r="381" spans="1:3" x14ac:dyDescent="0.2">
      <c r="A381">
        <v>3</v>
      </c>
      <c r="B381" s="9" t="s">
        <v>143</v>
      </c>
      <c r="C381" t="s">
        <v>254</v>
      </c>
    </row>
    <row r="382" spans="1:3" x14ac:dyDescent="0.2">
      <c r="A382">
        <v>3</v>
      </c>
      <c r="B382" s="9" t="s">
        <v>321</v>
      </c>
      <c r="C382" t="s">
        <v>336</v>
      </c>
    </row>
    <row r="383" spans="1:3" x14ac:dyDescent="0.2">
      <c r="A383">
        <v>3</v>
      </c>
      <c r="B383" s="9" t="s">
        <v>285</v>
      </c>
      <c r="C383" t="s">
        <v>337</v>
      </c>
    </row>
    <row r="384" spans="1:3" x14ac:dyDescent="0.2">
      <c r="A384">
        <v>3</v>
      </c>
      <c r="B384" s="9" t="s">
        <v>110</v>
      </c>
      <c r="C384" t="s">
        <v>255</v>
      </c>
    </row>
    <row r="385" spans="1:3" x14ac:dyDescent="0.2">
      <c r="A385">
        <v>3</v>
      </c>
      <c r="B385" s="9" t="s">
        <v>111</v>
      </c>
      <c r="C385" t="s">
        <v>256</v>
      </c>
    </row>
    <row r="386" spans="1:3" x14ac:dyDescent="0.2">
      <c r="A386">
        <v>3</v>
      </c>
      <c r="B386" s="9" t="s">
        <v>326</v>
      </c>
      <c r="C386" t="s">
        <v>338</v>
      </c>
    </row>
    <row r="387" spans="1:3" x14ac:dyDescent="0.2">
      <c r="A387">
        <v>3</v>
      </c>
      <c r="B387" s="9" t="s">
        <v>250</v>
      </c>
      <c r="C387" t="s">
        <v>263</v>
      </c>
    </row>
    <row r="388" spans="1:3" x14ac:dyDescent="0.2">
      <c r="A388">
        <v>3</v>
      </c>
      <c r="B388" s="9" t="s">
        <v>292</v>
      </c>
      <c r="C388" t="s">
        <v>339</v>
      </c>
    </row>
    <row r="389" spans="1:3" x14ac:dyDescent="0.2">
      <c r="A389">
        <v>3</v>
      </c>
      <c r="B389" s="9" t="s">
        <v>112</v>
      </c>
      <c r="C389" t="s">
        <v>264</v>
      </c>
    </row>
    <row r="390" spans="1:3" x14ac:dyDescent="0.2">
      <c r="A390">
        <v>3</v>
      </c>
      <c r="B390" s="9" t="s">
        <v>330</v>
      </c>
    </row>
    <row r="391" spans="1:3" x14ac:dyDescent="0.2">
      <c r="A391">
        <v>2</v>
      </c>
      <c r="B391" s="10" t="s">
        <v>274</v>
      </c>
    </row>
    <row r="392" spans="1:3" x14ac:dyDescent="0.2">
      <c r="A392">
        <v>3</v>
      </c>
      <c r="B392" s="9" t="s">
        <v>280</v>
      </c>
      <c r="C392" t="s">
        <v>340</v>
      </c>
    </row>
    <row r="393" spans="1:3" x14ac:dyDescent="0.2">
      <c r="A393">
        <v>3</v>
      </c>
      <c r="B393" s="9" t="s">
        <v>281</v>
      </c>
      <c r="C393" t="s">
        <v>341</v>
      </c>
    </row>
    <row r="394" spans="1:3" x14ac:dyDescent="0.2">
      <c r="A394">
        <v>3</v>
      </c>
      <c r="B394" s="9" t="s">
        <v>316</v>
      </c>
      <c r="C394" t="s">
        <v>342</v>
      </c>
    </row>
    <row r="395" spans="1:3" x14ac:dyDescent="0.2">
      <c r="A395">
        <v>3</v>
      </c>
      <c r="B395" s="9" t="s">
        <v>107</v>
      </c>
      <c r="C395" t="s">
        <v>257</v>
      </c>
    </row>
    <row r="396" spans="1:3" x14ac:dyDescent="0.2">
      <c r="A396">
        <v>3</v>
      </c>
      <c r="B396" s="9" t="s">
        <v>108</v>
      </c>
      <c r="C396" t="s">
        <v>258</v>
      </c>
    </row>
    <row r="397" spans="1:3" x14ac:dyDescent="0.2">
      <c r="A397">
        <v>3</v>
      </c>
      <c r="B397" s="9" t="s">
        <v>249</v>
      </c>
      <c r="C397" t="s">
        <v>259</v>
      </c>
    </row>
    <row r="398" spans="1:3" x14ac:dyDescent="0.2">
      <c r="A398">
        <v>3</v>
      </c>
      <c r="B398" s="9" t="s">
        <v>317</v>
      </c>
      <c r="C398" t="s">
        <v>343</v>
      </c>
    </row>
    <row r="399" spans="1:3" x14ac:dyDescent="0.2">
      <c r="A399">
        <v>3</v>
      </c>
      <c r="B399" s="9" t="s">
        <v>318</v>
      </c>
      <c r="C399" t="s">
        <v>344</v>
      </c>
    </row>
    <row r="400" spans="1:3" x14ac:dyDescent="0.2">
      <c r="A400">
        <v>3</v>
      </c>
      <c r="B400" s="9" t="s">
        <v>143</v>
      </c>
      <c r="C400" t="s">
        <v>260</v>
      </c>
    </row>
    <row r="401" spans="1:3" x14ac:dyDescent="0.2">
      <c r="A401">
        <v>3</v>
      </c>
      <c r="B401" s="9" t="s">
        <v>321</v>
      </c>
      <c r="C401" t="s">
        <v>345</v>
      </c>
    </row>
    <row r="402" spans="1:3" x14ac:dyDescent="0.2">
      <c r="A402">
        <v>3</v>
      </c>
      <c r="B402" s="9" t="s">
        <v>285</v>
      </c>
      <c r="C402" t="s">
        <v>346</v>
      </c>
    </row>
    <row r="403" spans="1:3" x14ac:dyDescent="0.2">
      <c r="A403">
        <v>3</v>
      </c>
      <c r="B403" s="9" t="s">
        <v>110</v>
      </c>
      <c r="C403" t="s">
        <v>261</v>
      </c>
    </row>
    <row r="404" spans="1:3" x14ac:dyDescent="0.2">
      <c r="A404">
        <v>3</v>
      </c>
      <c r="B404" s="9" t="s">
        <v>322</v>
      </c>
      <c r="C404" t="s">
        <v>347</v>
      </c>
    </row>
    <row r="405" spans="1:3" x14ac:dyDescent="0.2">
      <c r="A405">
        <v>3</v>
      </c>
      <c r="B405" s="9" t="s">
        <v>111</v>
      </c>
      <c r="C405" t="s">
        <v>262</v>
      </c>
    </row>
    <row r="406" spans="1:3" x14ac:dyDescent="0.2">
      <c r="A406">
        <v>3</v>
      </c>
      <c r="B406" s="9" t="s">
        <v>325</v>
      </c>
      <c r="C406" t="s">
        <v>348</v>
      </c>
    </row>
    <row r="407" spans="1:3" x14ac:dyDescent="0.2">
      <c r="A407">
        <v>3</v>
      </c>
      <c r="B407" s="9" t="s">
        <v>326</v>
      </c>
      <c r="C407" t="s">
        <v>349</v>
      </c>
    </row>
    <row r="408" spans="1:3" x14ac:dyDescent="0.2">
      <c r="A408">
        <v>3</v>
      </c>
      <c r="B408" s="9" t="s">
        <v>114</v>
      </c>
      <c r="C408" t="s">
        <v>350</v>
      </c>
    </row>
    <row r="409" spans="1:3" x14ac:dyDescent="0.2">
      <c r="A409">
        <v>3</v>
      </c>
      <c r="B409" s="9" t="s">
        <v>250</v>
      </c>
      <c r="C409" t="s">
        <v>265</v>
      </c>
    </row>
    <row r="410" spans="1:3" x14ac:dyDescent="0.2">
      <c r="A410">
        <v>3</v>
      </c>
      <c r="B410" s="9" t="s">
        <v>112</v>
      </c>
      <c r="C410" t="s">
        <v>266</v>
      </c>
    </row>
    <row r="411" spans="1:3" x14ac:dyDescent="0.2">
      <c r="A411">
        <v>2</v>
      </c>
      <c r="B411" s="10" t="s">
        <v>275</v>
      </c>
    </row>
    <row r="412" spans="1:3" x14ac:dyDescent="0.2">
      <c r="A412">
        <v>3</v>
      </c>
      <c r="B412" s="9" t="s">
        <v>280</v>
      </c>
      <c r="C412" s="80" t="s">
        <v>627</v>
      </c>
    </row>
    <row r="413" spans="1:3" x14ac:dyDescent="0.2">
      <c r="A413">
        <v>3</v>
      </c>
      <c r="B413" s="9" t="s">
        <v>281</v>
      </c>
      <c r="C413" s="80" t="s">
        <v>628</v>
      </c>
    </row>
    <row r="414" spans="1:3" x14ac:dyDescent="0.2">
      <c r="A414">
        <v>3</v>
      </c>
      <c r="B414" s="9" t="s">
        <v>282</v>
      </c>
      <c r="C414" s="80" t="s">
        <v>629</v>
      </c>
    </row>
    <row r="415" spans="1:3" x14ac:dyDescent="0.2">
      <c r="A415">
        <v>3</v>
      </c>
      <c r="B415" s="81" t="s">
        <v>107</v>
      </c>
      <c r="C415" s="80" t="s">
        <v>630</v>
      </c>
    </row>
    <row r="416" spans="1:3" x14ac:dyDescent="0.2">
      <c r="A416">
        <v>3</v>
      </c>
      <c r="B416" s="9" t="s">
        <v>108</v>
      </c>
      <c r="C416" s="80" t="s">
        <v>631</v>
      </c>
    </row>
    <row r="417" spans="1:3" x14ac:dyDescent="0.2">
      <c r="A417">
        <v>3</v>
      </c>
      <c r="B417" s="9" t="s">
        <v>109</v>
      </c>
      <c r="C417" s="80" t="s">
        <v>632</v>
      </c>
    </row>
    <row r="418" spans="1:3" x14ac:dyDescent="0.2">
      <c r="A418">
        <v>3</v>
      </c>
      <c r="B418" s="81" t="s">
        <v>713</v>
      </c>
      <c r="C418" s="80" t="s">
        <v>634</v>
      </c>
    </row>
    <row r="419" spans="1:3" x14ac:dyDescent="0.2">
      <c r="A419">
        <v>3</v>
      </c>
      <c r="B419" s="81" t="s">
        <v>283</v>
      </c>
      <c r="C419" s="80" t="s">
        <v>633</v>
      </c>
    </row>
    <row r="420" spans="1:3" x14ac:dyDescent="0.2">
      <c r="A420">
        <v>3</v>
      </c>
      <c r="B420" s="81" t="s">
        <v>381</v>
      </c>
      <c r="C420" s="80" t="s">
        <v>635</v>
      </c>
    </row>
    <row r="421" spans="1:3" x14ac:dyDescent="0.2">
      <c r="A421">
        <v>3</v>
      </c>
      <c r="B421" s="81" t="s">
        <v>143</v>
      </c>
      <c r="C421" s="80" t="s">
        <v>636</v>
      </c>
    </row>
    <row r="422" spans="1:3" x14ac:dyDescent="0.2">
      <c r="A422">
        <v>3</v>
      </c>
      <c r="B422" s="9" t="s">
        <v>284</v>
      </c>
      <c r="C422" s="80" t="s">
        <v>637</v>
      </c>
    </row>
    <row r="423" spans="1:3" x14ac:dyDescent="0.2">
      <c r="A423">
        <v>3</v>
      </c>
      <c r="B423" s="9" t="s">
        <v>113</v>
      </c>
      <c r="C423" t="s">
        <v>116</v>
      </c>
    </row>
    <row r="424" spans="1:3" x14ac:dyDescent="0.2">
      <c r="A424">
        <v>3</v>
      </c>
      <c r="B424" s="9" t="s">
        <v>285</v>
      </c>
      <c r="C424" s="80" t="s">
        <v>716</v>
      </c>
    </row>
    <row r="425" spans="1:3" x14ac:dyDescent="0.2">
      <c r="A425">
        <v>3</v>
      </c>
      <c r="B425" s="9" t="s">
        <v>287</v>
      </c>
      <c r="C425" t="s">
        <v>286</v>
      </c>
    </row>
    <row r="426" spans="1:3" x14ac:dyDescent="0.2">
      <c r="A426">
        <v>3</v>
      </c>
      <c r="B426" s="9" t="s">
        <v>111</v>
      </c>
      <c r="C426" t="s">
        <v>117</v>
      </c>
    </row>
    <row r="427" spans="1:3" x14ac:dyDescent="0.2">
      <c r="A427">
        <v>3</v>
      </c>
      <c r="B427" s="9" t="s">
        <v>289</v>
      </c>
      <c r="C427" t="s">
        <v>288</v>
      </c>
    </row>
    <row r="428" spans="1:3" x14ac:dyDescent="0.2">
      <c r="A428">
        <v>3</v>
      </c>
      <c r="B428" s="9" t="s">
        <v>114</v>
      </c>
      <c r="C428" t="s">
        <v>118</v>
      </c>
    </row>
    <row r="429" spans="1:3" x14ac:dyDescent="0.2">
      <c r="A429">
        <v>3</v>
      </c>
      <c r="B429" s="9" t="s">
        <v>292</v>
      </c>
      <c r="C429" t="s">
        <v>291</v>
      </c>
    </row>
    <row r="430" spans="1:3" x14ac:dyDescent="0.2">
      <c r="A430">
        <v>3</v>
      </c>
      <c r="B430" s="9" t="s">
        <v>115</v>
      </c>
      <c r="C430" t="s">
        <v>119</v>
      </c>
    </row>
    <row r="431" spans="1:3" x14ac:dyDescent="0.2">
      <c r="A431">
        <v>3</v>
      </c>
      <c r="B431" s="9" t="s">
        <v>294</v>
      </c>
      <c r="C431" t="s">
        <v>293</v>
      </c>
    </row>
    <row r="432" spans="1:3" x14ac:dyDescent="0.2">
      <c r="A432">
        <v>3</v>
      </c>
      <c r="B432" s="9" t="s">
        <v>330</v>
      </c>
    </row>
    <row r="433" spans="1:3" x14ac:dyDescent="0.2">
      <c r="A433">
        <v>2</v>
      </c>
      <c r="B433" s="10" t="s">
        <v>276</v>
      </c>
    </row>
    <row r="434" spans="1:3" x14ac:dyDescent="0.2">
      <c r="A434">
        <v>3</v>
      </c>
      <c r="B434" s="9" t="s">
        <v>280</v>
      </c>
      <c r="C434" s="80" t="s">
        <v>693</v>
      </c>
    </row>
    <row r="435" spans="1:3" x14ac:dyDescent="0.2">
      <c r="A435">
        <v>3</v>
      </c>
      <c r="B435" s="9" t="s">
        <v>281</v>
      </c>
      <c r="C435" s="80" t="s">
        <v>694</v>
      </c>
    </row>
    <row r="436" spans="1:3" x14ac:dyDescent="0.2">
      <c r="A436">
        <v>3</v>
      </c>
      <c r="B436" s="9" t="s">
        <v>282</v>
      </c>
      <c r="C436" t="s">
        <v>695</v>
      </c>
    </row>
    <row r="437" spans="1:3" x14ac:dyDescent="0.2">
      <c r="A437">
        <v>3</v>
      </c>
      <c r="B437" s="81" t="s">
        <v>107</v>
      </c>
      <c r="C437" s="80" t="s">
        <v>696</v>
      </c>
    </row>
    <row r="438" spans="1:3" x14ac:dyDescent="0.2">
      <c r="A438">
        <v>3</v>
      </c>
      <c r="B438" s="9" t="s">
        <v>108</v>
      </c>
      <c r="C438" t="s">
        <v>697</v>
      </c>
    </row>
    <row r="439" spans="1:3" x14ac:dyDescent="0.2">
      <c r="A439">
        <v>3</v>
      </c>
      <c r="B439" s="9" t="s">
        <v>109</v>
      </c>
      <c r="C439" t="s">
        <v>698</v>
      </c>
    </row>
    <row r="440" spans="1:3" x14ac:dyDescent="0.2">
      <c r="A440">
        <v>3</v>
      </c>
      <c r="B440" s="9" t="s">
        <v>713</v>
      </c>
      <c r="C440" t="s">
        <v>712</v>
      </c>
    </row>
    <row r="441" spans="1:3" x14ac:dyDescent="0.2">
      <c r="A441">
        <v>3</v>
      </c>
      <c r="B441" s="81" t="s">
        <v>283</v>
      </c>
      <c r="C441" s="80" t="s">
        <v>711</v>
      </c>
    </row>
    <row r="442" spans="1:3" x14ac:dyDescent="0.2">
      <c r="A442">
        <v>3</v>
      </c>
      <c r="B442" s="81" t="s">
        <v>381</v>
      </c>
      <c r="C442" s="80" t="s">
        <v>699</v>
      </c>
    </row>
    <row r="443" spans="1:3" x14ac:dyDescent="0.2">
      <c r="A443">
        <v>3</v>
      </c>
      <c r="B443" s="81" t="s">
        <v>143</v>
      </c>
      <c r="C443" s="80" t="s">
        <v>700</v>
      </c>
    </row>
    <row r="444" spans="1:3" x14ac:dyDescent="0.2">
      <c r="A444">
        <v>3</v>
      </c>
      <c r="B444" s="9" t="s">
        <v>284</v>
      </c>
      <c r="C444" s="80" t="s">
        <v>701</v>
      </c>
    </row>
    <row r="445" spans="1:3" x14ac:dyDescent="0.2">
      <c r="A445">
        <v>3</v>
      </c>
      <c r="B445" s="9" t="s">
        <v>113</v>
      </c>
      <c r="C445" t="s">
        <v>267</v>
      </c>
    </row>
    <row r="446" spans="1:3" x14ac:dyDescent="0.2">
      <c r="A446">
        <v>3</v>
      </c>
      <c r="B446" s="9" t="s">
        <v>285</v>
      </c>
      <c r="C446" s="80" t="s">
        <v>717</v>
      </c>
    </row>
    <row r="447" spans="1:3" x14ac:dyDescent="0.2">
      <c r="A447">
        <v>3</v>
      </c>
      <c r="B447" s="9" t="s">
        <v>114</v>
      </c>
      <c r="C447" t="s">
        <v>268</v>
      </c>
    </row>
    <row r="448" spans="1:3" x14ac:dyDescent="0.2">
      <c r="A448">
        <v>3</v>
      </c>
      <c r="B448" s="9" t="s">
        <v>115</v>
      </c>
      <c r="C448" t="s">
        <v>269</v>
      </c>
    </row>
    <row r="449" spans="1:3" x14ac:dyDescent="0.2">
      <c r="A449">
        <v>3</v>
      </c>
      <c r="B449" s="9" t="s">
        <v>330</v>
      </c>
    </row>
    <row r="450" spans="1:3" x14ac:dyDescent="0.2">
      <c r="A450">
        <v>2</v>
      </c>
      <c r="B450" s="10" t="s">
        <v>277</v>
      </c>
    </row>
    <row r="451" spans="1:3" x14ac:dyDescent="0.2">
      <c r="A451">
        <v>3</v>
      </c>
      <c r="B451" s="9" t="s">
        <v>280</v>
      </c>
      <c r="C451" s="80" t="s">
        <v>702</v>
      </c>
    </row>
    <row r="452" spans="1:3" x14ac:dyDescent="0.2">
      <c r="A452">
        <v>3</v>
      </c>
      <c r="B452" s="9" t="s">
        <v>281</v>
      </c>
      <c r="C452" s="80" t="s">
        <v>703</v>
      </c>
    </row>
    <row r="453" spans="1:3" x14ac:dyDescent="0.2">
      <c r="A453">
        <v>3</v>
      </c>
      <c r="B453" s="9" t="s">
        <v>282</v>
      </c>
      <c r="C453" t="s">
        <v>704</v>
      </c>
    </row>
    <row r="454" spans="1:3" x14ac:dyDescent="0.2">
      <c r="A454">
        <v>3</v>
      </c>
      <c r="B454" s="81" t="s">
        <v>107</v>
      </c>
      <c r="C454" s="80" t="s">
        <v>705</v>
      </c>
    </row>
    <row r="455" spans="1:3" x14ac:dyDescent="0.2">
      <c r="A455">
        <v>3</v>
      </c>
      <c r="B455" s="9" t="s">
        <v>108</v>
      </c>
      <c r="C455" t="s">
        <v>706</v>
      </c>
    </row>
    <row r="456" spans="1:3" x14ac:dyDescent="0.2">
      <c r="A456">
        <v>3</v>
      </c>
      <c r="B456" s="9" t="s">
        <v>109</v>
      </c>
      <c r="C456" t="s">
        <v>707</v>
      </c>
    </row>
    <row r="457" spans="1:3" x14ac:dyDescent="0.2">
      <c r="A457">
        <v>3</v>
      </c>
      <c r="B457" s="9" t="s">
        <v>713</v>
      </c>
      <c r="C457" t="s">
        <v>714</v>
      </c>
    </row>
    <row r="458" spans="1:3" x14ac:dyDescent="0.2">
      <c r="A458">
        <v>3</v>
      </c>
      <c r="B458" s="81" t="s">
        <v>283</v>
      </c>
      <c r="C458" s="80" t="s">
        <v>715</v>
      </c>
    </row>
    <row r="459" spans="1:3" x14ac:dyDescent="0.2">
      <c r="A459">
        <v>3</v>
      </c>
      <c r="B459" s="81" t="s">
        <v>381</v>
      </c>
      <c r="C459" s="80" t="s">
        <v>708</v>
      </c>
    </row>
    <row r="460" spans="1:3" x14ac:dyDescent="0.2">
      <c r="A460">
        <v>3</v>
      </c>
      <c r="B460" s="81" t="s">
        <v>143</v>
      </c>
      <c r="C460" s="80" t="s">
        <v>709</v>
      </c>
    </row>
    <row r="461" spans="1:3" x14ac:dyDescent="0.2">
      <c r="A461">
        <v>3</v>
      </c>
      <c r="B461" s="9" t="s">
        <v>284</v>
      </c>
      <c r="C461" s="80" t="s">
        <v>710</v>
      </c>
    </row>
    <row r="462" spans="1:3" x14ac:dyDescent="0.2">
      <c r="A462">
        <v>3</v>
      </c>
      <c r="B462" s="9" t="s">
        <v>113</v>
      </c>
      <c r="C462" s="80" t="s">
        <v>720</v>
      </c>
    </row>
    <row r="463" spans="1:3" x14ac:dyDescent="0.2">
      <c r="A463">
        <v>3</v>
      </c>
      <c r="B463" s="9" t="s">
        <v>285</v>
      </c>
      <c r="C463" s="80" t="s">
        <v>718</v>
      </c>
    </row>
    <row r="464" spans="1:3" x14ac:dyDescent="0.2">
      <c r="A464">
        <v>3</v>
      </c>
      <c r="B464" s="9" t="s">
        <v>290</v>
      </c>
      <c r="C464" t="s">
        <v>295</v>
      </c>
    </row>
    <row r="465" spans="1:3" x14ac:dyDescent="0.2">
      <c r="A465">
        <v>3</v>
      </c>
      <c r="B465" s="9" t="s">
        <v>114</v>
      </c>
      <c r="C465" t="s">
        <v>270</v>
      </c>
    </row>
    <row r="466" spans="1:3" x14ac:dyDescent="0.2">
      <c r="A466">
        <v>3</v>
      </c>
      <c r="B466" s="9" t="s">
        <v>115</v>
      </c>
      <c r="C466" t="s">
        <v>271</v>
      </c>
    </row>
    <row r="467" spans="1:3" x14ac:dyDescent="0.2">
      <c r="A467">
        <v>3</v>
      </c>
      <c r="B467" s="9" t="s">
        <v>330</v>
      </c>
    </row>
    <row r="468" spans="1:3" x14ac:dyDescent="0.2">
      <c r="A468" s="7">
        <v>1</v>
      </c>
      <c r="B468" s="7" t="s">
        <v>603</v>
      </c>
      <c r="C468" s="7">
        <v>11</v>
      </c>
    </row>
    <row r="469" spans="1:3" x14ac:dyDescent="0.2">
      <c r="A469">
        <v>2</v>
      </c>
      <c r="B469" s="5" t="s">
        <v>604</v>
      </c>
    </row>
    <row r="470" spans="1:3" x14ac:dyDescent="0.2">
      <c r="A470">
        <v>3</v>
      </c>
      <c r="B470" s="77" t="s">
        <v>721</v>
      </c>
      <c r="C470" s="5" t="s">
        <v>606</v>
      </c>
    </row>
    <row r="471" spans="1:3" x14ac:dyDescent="0.2">
      <c r="A471">
        <v>3</v>
      </c>
      <c r="B471" s="77" t="s">
        <v>722</v>
      </c>
      <c r="C471" s="5" t="s">
        <v>607</v>
      </c>
    </row>
    <row r="472" spans="1:3" x14ac:dyDescent="0.2">
      <c r="A472">
        <v>3</v>
      </c>
      <c r="B472" s="81" t="s">
        <v>796</v>
      </c>
      <c r="C472" s="80" t="s">
        <v>795</v>
      </c>
    </row>
    <row r="473" spans="1:3" x14ac:dyDescent="0.2">
      <c r="A473">
        <v>3</v>
      </c>
      <c r="B473" s="81" t="s">
        <v>793</v>
      </c>
      <c r="C473" s="5" t="s">
        <v>608</v>
      </c>
    </row>
    <row r="474" spans="1:3" x14ac:dyDescent="0.2">
      <c r="A474">
        <v>3</v>
      </c>
      <c r="B474" s="81" t="s">
        <v>766</v>
      </c>
      <c r="C474" s="80" t="s">
        <v>764</v>
      </c>
    </row>
    <row r="475" spans="1:3" x14ac:dyDescent="0.2">
      <c r="A475">
        <v>3</v>
      </c>
      <c r="B475" s="81" t="s">
        <v>767</v>
      </c>
      <c r="C475" s="80" t="s">
        <v>765</v>
      </c>
    </row>
    <row r="476" spans="1:3" x14ac:dyDescent="0.2">
      <c r="A476">
        <v>2</v>
      </c>
      <c r="B476" s="5" t="s">
        <v>605</v>
      </c>
    </row>
    <row r="477" spans="1:3" x14ac:dyDescent="0.2">
      <c r="A477">
        <v>3</v>
      </c>
      <c r="B477" s="81" t="s">
        <v>774</v>
      </c>
      <c r="C477" s="80" t="s">
        <v>588</v>
      </c>
    </row>
    <row r="478" spans="1:3" x14ac:dyDescent="0.2">
      <c r="A478">
        <v>3</v>
      </c>
      <c r="B478" s="81" t="s">
        <v>775</v>
      </c>
      <c r="C478" s="80" t="s">
        <v>638</v>
      </c>
    </row>
    <row r="479" spans="1:3" x14ac:dyDescent="0.2">
      <c r="A479">
        <v>2</v>
      </c>
      <c r="B479" s="80" t="s">
        <v>639</v>
      </c>
    </row>
    <row r="480" spans="1:3" x14ac:dyDescent="0.2">
      <c r="A480">
        <v>3</v>
      </c>
      <c r="B480" s="81" t="s">
        <v>871</v>
      </c>
      <c r="C480" s="80" t="s">
        <v>675</v>
      </c>
    </row>
    <row r="481" spans="1:3" x14ac:dyDescent="0.2">
      <c r="A481">
        <v>3</v>
      </c>
      <c r="B481" s="81" t="s">
        <v>872</v>
      </c>
      <c r="C481" s="80" t="s">
        <v>678</v>
      </c>
    </row>
    <row r="482" spans="1:3" x14ac:dyDescent="0.2">
      <c r="A482">
        <v>3</v>
      </c>
      <c r="B482" s="81" t="s">
        <v>730</v>
      </c>
      <c r="C482" s="80" t="s">
        <v>676</v>
      </c>
    </row>
    <row r="483" spans="1:3" x14ac:dyDescent="0.2">
      <c r="A483">
        <v>3</v>
      </c>
      <c r="B483" s="81" t="s">
        <v>731</v>
      </c>
      <c r="C483" s="80" t="s">
        <v>679</v>
      </c>
    </row>
    <row r="484" spans="1:3" x14ac:dyDescent="0.2">
      <c r="A484">
        <v>3</v>
      </c>
      <c r="B484" s="81" t="s">
        <v>732</v>
      </c>
      <c r="C484" s="80" t="s">
        <v>677</v>
      </c>
    </row>
    <row r="485" spans="1:3" x14ac:dyDescent="0.2">
      <c r="A485">
        <v>3</v>
      </c>
      <c r="B485" s="81" t="s">
        <v>733</v>
      </c>
      <c r="C485" s="80" t="s">
        <v>680</v>
      </c>
    </row>
    <row r="486" spans="1:3" x14ac:dyDescent="0.2">
      <c r="A486">
        <v>3</v>
      </c>
      <c r="B486" s="81" t="s">
        <v>772</v>
      </c>
      <c r="C486" s="80" t="s">
        <v>768</v>
      </c>
    </row>
    <row r="487" spans="1:3" x14ac:dyDescent="0.2">
      <c r="A487">
        <v>3</v>
      </c>
      <c r="B487" s="81" t="s">
        <v>773</v>
      </c>
      <c r="C487" s="80" t="s">
        <v>769</v>
      </c>
    </row>
    <row r="488" spans="1:3" x14ac:dyDescent="0.2">
      <c r="A488">
        <v>3</v>
      </c>
      <c r="B488" s="81" t="s">
        <v>866</v>
      </c>
      <c r="C488" s="80" t="s">
        <v>797</v>
      </c>
    </row>
    <row r="489" spans="1:3" x14ac:dyDescent="0.2">
      <c r="A489">
        <v>3</v>
      </c>
      <c r="B489" s="81" t="s">
        <v>867</v>
      </c>
      <c r="C489" s="80" t="s">
        <v>798</v>
      </c>
    </row>
    <row r="490" spans="1:3" x14ac:dyDescent="0.2">
      <c r="A490">
        <v>3</v>
      </c>
      <c r="B490" s="81" t="s">
        <v>868</v>
      </c>
      <c r="C490" s="80" t="s">
        <v>864</v>
      </c>
    </row>
    <row r="491" spans="1:3" x14ac:dyDescent="0.2">
      <c r="A491">
        <v>3</v>
      </c>
      <c r="B491" s="81" t="s">
        <v>869</v>
      </c>
      <c r="C491" s="80" t="s">
        <v>865</v>
      </c>
    </row>
    <row r="492" spans="1:3" x14ac:dyDescent="0.2">
      <c r="A492">
        <v>2</v>
      </c>
      <c r="B492" s="80" t="s">
        <v>668</v>
      </c>
    </row>
    <row r="493" spans="1:3" x14ac:dyDescent="0.2">
      <c r="A493">
        <v>3</v>
      </c>
      <c r="B493" s="81" t="s">
        <v>871</v>
      </c>
      <c r="C493" s="80" t="s">
        <v>669</v>
      </c>
    </row>
    <row r="494" spans="1:3" x14ac:dyDescent="0.2">
      <c r="A494">
        <v>3</v>
      </c>
      <c r="B494" s="81" t="s">
        <v>872</v>
      </c>
      <c r="C494" s="80" t="s">
        <v>672</v>
      </c>
    </row>
    <row r="495" spans="1:3" x14ac:dyDescent="0.2">
      <c r="A495">
        <v>3</v>
      </c>
      <c r="B495" s="9" t="s">
        <v>730</v>
      </c>
      <c r="C495" s="80" t="s">
        <v>670</v>
      </c>
    </row>
    <row r="496" spans="1:3" x14ac:dyDescent="0.2">
      <c r="A496">
        <v>3</v>
      </c>
      <c r="B496" s="9" t="s">
        <v>731</v>
      </c>
      <c r="C496" s="80" t="s">
        <v>673</v>
      </c>
    </row>
    <row r="497" spans="1:3" x14ac:dyDescent="0.2">
      <c r="A497">
        <v>3</v>
      </c>
      <c r="B497" s="9" t="s">
        <v>732</v>
      </c>
      <c r="C497" s="80" t="s">
        <v>671</v>
      </c>
    </row>
    <row r="498" spans="1:3" x14ac:dyDescent="0.2">
      <c r="A498">
        <v>3</v>
      </c>
      <c r="B498" s="9" t="s">
        <v>733</v>
      </c>
      <c r="C498" s="80" t="s">
        <v>674</v>
      </c>
    </row>
    <row r="499" spans="1:3" x14ac:dyDescent="0.2">
      <c r="A499">
        <v>3</v>
      </c>
      <c r="B499" s="81" t="s">
        <v>772</v>
      </c>
      <c r="C499" s="80" t="s">
        <v>770</v>
      </c>
    </row>
    <row r="500" spans="1:3" x14ac:dyDescent="0.2">
      <c r="A500">
        <v>3</v>
      </c>
      <c r="B500" s="81" t="s">
        <v>773</v>
      </c>
      <c r="C500" s="80" t="s">
        <v>771</v>
      </c>
    </row>
    <row r="501" spans="1:3" x14ac:dyDescent="0.2">
      <c r="A501" s="7">
        <v>1</v>
      </c>
      <c r="B501" s="7" t="s">
        <v>783</v>
      </c>
      <c r="C501" s="7">
        <v>11</v>
      </c>
    </row>
    <row r="502" spans="1:3" x14ac:dyDescent="0.2">
      <c r="A502">
        <v>2</v>
      </c>
      <c r="B502" s="5" t="s">
        <v>604</v>
      </c>
    </row>
    <row r="503" spans="1:3" x14ac:dyDescent="0.2">
      <c r="A503">
        <v>3</v>
      </c>
      <c r="B503" s="77" t="s">
        <v>721</v>
      </c>
      <c r="C503" s="80" t="s">
        <v>784</v>
      </c>
    </row>
    <row r="504" spans="1:3" x14ac:dyDescent="0.2">
      <c r="A504">
        <v>3</v>
      </c>
      <c r="B504" s="77" t="s">
        <v>722</v>
      </c>
      <c r="C504" s="80" t="s">
        <v>785</v>
      </c>
    </row>
    <row r="505" spans="1:3" x14ac:dyDescent="0.2">
      <c r="A505">
        <v>3</v>
      </c>
      <c r="B505" s="81" t="s">
        <v>796</v>
      </c>
      <c r="C505" s="80" t="s">
        <v>794</v>
      </c>
    </row>
    <row r="506" spans="1:3" x14ac:dyDescent="0.2">
      <c r="A506">
        <v>3</v>
      </c>
      <c r="B506" s="81" t="s">
        <v>793</v>
      </c>
      <c r="C506" s="80" t="s">
        <v>786</v>
      </c>
    </row>
    <row r="507" spans="1:3" x14ac:dyDescent="0.2">
      <c r="A507">
        <v>3</v>
      </c>
      <c r="B507" s="81" t="s">
        <v>766</v>
      </c>
      <c r="C507" s="80" t="s">
        <v>764</v>
      </c>
    </row>
    <row r="508" spans="1:3" x14ac:dyDescent="0.2">
      <c r="A508">
        <v>3</v>
      </c>
      <c r="B508" s="81" t="s">
        <v>767</v>
      </c>
      <c r="C508" s="80" t="s">
        <v>765</v>
      </c>
    </row>
    <row r="509" spans="1:3" x14ac:dyDescent="0.2">
      <c r="A509">
        <v>2</v>
      </c>
      <c r="B509" s="5" t="s">
        <v>605</v>
      </c>
    </row>
    <row r="510" spans="1:3" x14ac:dyDescent="0.2">
      <c r="A510">
        <v>3</v>
      </c>
      <c r="B510" s="81" t="s">
        <v>774</v>
      </c>
      <c r="C510" s="80" t="s">
        <v>787</v>
      </c>
    </row>
    <row r="511" spans="1:3" x14ac:dyDescent="0.2">
      <c r="A511">
        <v>3</v>
      </c>
      <c r="B511" s="81" t="s">
        <v>775</v>
      </c>
      <c r="C511" s="80" t="s">
        <v>788</v>
      </c>
    </row>
    <row r="512" spans="1:3" x14ac:dyDescent="0.2">
      <c r="A512">
        <v>2</v>
      </c>
      <c r="B512" s="80" t="s">
        <v>639</v>
      </c>
    </row>
    <row r="513" spans="1:3" x14ac:dyDescent="0.2">
      <c r="A513">
        <v>3</v>
      </c>
      <c r="B513" s="81" t="s">
        <v>776</v>
      </c>
      <c r="C513" s="80" t="s">
        <v>675</v>
      </c>
    </row>
    <row r="514" spans="1:3" x14ac:dyDescent="0.2">
      <c r="A514">
        <v>3</v>
      </c>
      <c r="B514" s="81" t="s">
        <v>777</v>
      </c>
      <c r="C514" s="80" t="s">
        <v>678</v>
      </c>
    </row>
    <row r="515" spans="1:3" x14ac:dyDescent="0.2">
      <c r="A515">
        <v>3</v>
      </c>
      <c r="B515" s="81" t="s">
        <v>730</v>
      </c>
      <c r="C515" s="80" t="s">
        <v>676</v>
      </c>
    </row>
    <row r="516" spans="1:3" x14ac:dyDescent="0.2">
      <c r="A516">
        <v>3</v>
      </c>
      <c r="B516" s="81" t="s">
        <v>731</v>
      </c>
      <c r="C516" s="80" t="s">
        <v>679</v>
      </c>
    </row>
    <row r="517" spans="1:3" x14ac:dyDescent="0.2">
      <c r="A517">
        <v>3</v>
      </c>
      <c r="B517" s="81" t="s">
        <v>732</v>
      </c>
      <c r="C517" s="80" t="s">
        <v>677</v>
      </c>
    </row>
    <row r="518" spans="1:3" x14ac:dyDescent="0.2">
      <c r="A518">
        <v>3</v>
      </c>
      <c r="B518" s="81" t="s">
        <v>733</v>
      </c>
      <c r="C518" s="80" t="s">
        <v>680</v>
      </c>
    </row>
    <row r="519" spans="1:3" x14ac:dyDescent="0.2">
      <c r="A519">
        <v>3</v>
      </c>
      <c r="B519" s="81" t="s">
        <v>772</v>
      </c>
      <c r="C519" s="80" t="s">
        <v>768</v>
      </c>
    </row>
    <row r="520" spans="1:3" x14ac:dyDescent="0.2">
      <c r="A520">
        <v>3</v>
      </c>
      <c r="B520" s="81" t="s">
        <v>773</v>
      </c>
      <c r="C520" s="80" t="s">
        <v>769</v>
      </c>
    </row>
    <row r="521" spans="1:3" x14ac:dyDescent="0.2">
      <c r="A521">
        <v>3</v>
      </c>
      <c r="B521" s="81" t="s">
        <v>866</v>
      </c>
      <c r="C521" s="80" t="s">
        <v>797</v>
      </c>
    </row>
    <row r="522" spans="1:3" x14ac:dyDescent="0.2">
      <c r="A522">
        <v>3</v>
      </c>
      <c r="B522" s="81" t="s">
        <v>867</v>
      </c>
      <c r="C522" s="80" t="s">
        <v>798</v>
      </c>
    </row>
    <row r="523" spans="1:3" x14ac:dyDescent="0.2">
      <c r="A523">
        <v>3</v>
      </c>
      <c r="B523" s="81" t="s">
        <v>868</v>
      </c>
      <c r="C523" s="80" t="s">
        <v>864</v>
      </c>
    </row>
    <row r="524" spans="1:3" x14ac:dyDescent="0.2">
      <c r="A524">
        <v>3</v>
      </c>
      <c r="B524" s="81" t="s">
        <v>869</v>
      </c>
      <c r="C524" s="80" t="s">
        <v>865</v>
      </c>
    </row>
    <row r="525" spans="1:3" x14ac:dyDescent="0.2">
      <c r="A525">
        <v>2</v>
      </c>
      <c r="B525" s="80" t="s">
        <v>668</v>
      </c>
    </row>
    <row r="526" spans="1:3" x14ac:dyDescent="0.2">
      <c r="A526">
        <v>3</v>
      </c>
      <c r="B526" s="81" t="s">
        <v>776</v>
      </c>
      <c r="C526" s="80" t="s">
        <v>669</v>
      </c>
    </row>
    <row r="527" spans="1:3" x14ac:dyDescent="0.2">
      <c r="A527">
        <v>3</v>
      </c>
      <c r="B527" s="9" t="s">
        <v>777</v>
      </c>
      <c r="C527" s="80" t="s">
        <v>672</v>
      </c>
    </row>
    <row r="528" spans="1:3" x14ac:dyDescent="0.2">
      <c r="A528">
        <v>3</v>
      </c>
      <c r="B528" s="9" t="s">
        <v>730</v>
      </c>
      <c r="C528" s="80" t="s">
        <v>670</v>
      </c>
    </row>
    <row r="529" spans="1:3" x14ac:dyDescent="0.2">
      <c r="A529">
        <v>3</v>
      </c>
      <c r="B529" s="9" t="s">
        <v>731</v>
      </c>
      <c r="C529" s="80" t="s">
        <v>673</v>
      </c>
    </row>
    <row r="530" spans="1:3" x14ac:dyDescent="0.2">
      <c r="A530">
        <v>3</v>
      </c>
      <c r="B530" s="9" t="s">
        <v>732</v>
      </c>
      <c r="C530" s="80" t="s">
        <v>671</v>
      </c>
    </row>
    <row r="531" spans="1:3" x14ac:dyDescent="0.2">
      <c r="A531">
        <v>3</v>
      </c>
      <c r="B531" s="9" t="s">
        <v>733</v>
      </c>
      <c r="C531" s="80" t="s">
        <v>674</v>
      </c>
    </row>
    <row r="532" spans="1:3" x14ac:dyDescent="0.2">
      <c r="A532">
        <v>3</v>
      </c>
      <c r="B532" s="81" t="s">
        <v>772</v>
      </c>
      <c r="C532" s="80" t="s">
        <v>770</v>
      </c>
    </row>
    <row r="533" spans="1:3" x14ac:dyDescent="0.2">
      <c r="A533">
        <v>3</v>
      </c>
      <c r="B533" s="81" t="s">
        <v>773</v>
      </c>
      <c r="C533" s="80" t="s">
        <v>771</v>
      </c>
    </row>
    <row r="539" spans="1:3" x14ac:dyDescent="0.2">
      <c r="A539" s="80" t="s">
        <v>734</v>
      </c>
    </row>
    <row r="540" spans="1:3" x14ac:dyDescent="0.2">
      <c r="A540">
        <v>3</v>
      </c>
      <c r="B540" s="77" t="s">
        <v>723</v>
      </c>
      <c r="C540" s="5" t="s">
        <v>609</v>
      </c>
    </row>
    <row r="541" spans="1:3" x14ac:dyDescent="0.2">
      <c r="A541">
        <v>3</v>
      </c>
      <c r="B541" s="81" t="s">
        <v>724</v>
      </c>
      <c r="C541" s="5" t="s">
        <v>610</v>
      </c>
    </row>
    <row r="542" spans="1:3" x14ac:dyDescent="0.2">
      <c r="A542">
        <v>3</v>
      </c>
      <c r="B542" s="81" t="s">
        <v>725</v>
      </c>
      <c r="C542" s="5" t="s">
        <v>612</v>
      </c>
    </row>
    <row r="543" spans="1:3" x14ac:dyDescent="0.2">
      <c r="A543">
        <v>3</v>
      </c>
      <c r="B543" s="81" t="s">
        <v>726</v>
      </c>
      <c r="C543" s="5" t="s">
        <v>585</v>
      </c>
    </row>
    <row r="544" spans="1:3" x14ac:dyDescent="0.2">
      <c r="A544">
        <v>3</v>
      </c>
      <c r="B544" s="81" t="s">
        <v>727</v>
      </c>
      <c r="C544" s="5" t="s">
        <v>611</v>
      </c>
    </row>
    <row r="545" spans="1:3" x14ac:dyDescent="0.2">
      <c r="A545">
        <v>3</v>
      </c>
      <c r="B545" s="81" t="s">
        <v>728</v>
      </c>
      <c r="C545" s="5" t="s">
        <v>586</v>
      </c>
    </row>
    <row r="546" spans="1:3" x14ac:dyDescent="0.2">
      <c r="A546">
        <v>3</v>
      </c>
      <c r="B546" s="81" t="s">
        <v>729</v>
      </c>
      <c r="C546" s="5" t="s">
        <v>587</v>
      </c>
    </row>
  </sheetData>
  <sheetProtection sheet="1" objects="1" scenarios="1"/>
  <phoneticPr fontId="8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aCreateMenu">
                <anchor>
                  <from>
                    <xdr:col>5</xdr:col>
                    <xdr:colOff>323850</xdr:colOff>
                    <xdr:row>0</xdr:row>
                    <xdr:rowOff>19050</xdr:rowOff>
                  </from>
                  <to>
                    <xdr:col>6</xdr:col>
                    <xdr:colOff>542925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aDeleteMenu">
                <anchor>
                  <from>
                    <xdr:col>6</xdr:col>
                    <xdr:colOff>571500</xdr:colOff>
                    <xdr:row>0</xdr:row>
                    <xdr:rowOff>28575</xdr:rowOff>
                  </from>
                  <to>
                    <xdr:col>6</xdr:col>
                    <xdr:colOff>1381125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2060"/>
  </sheetPr>
  <dimension ref="A1:C470"/>
  <sheetViews>
    <sheetView workbookViewId="0"/>
  </sheetViews>
  <sheetFormatPr defaultRowHeight="12.75" x14ac:dyDescent="0.2"/>
  <cols>
    <col min="1" max="1" width="20.28515625" bestFit="1" customWidth="1"/>
    <col min="2" max="2" width="20.28515625" customWidth="1"/>
    <col min="3" max="3" width="18.28515625" bestFit="1" customWidth="1"/>
  </cols>
  <sheetData>
    <row r="1" spans="1:3" x14ac:dyDescent="0.2">
      <c r="A1" s="7" t="s">
        <v>875</v>
      </c>
      <c r="B1" s="7"/>
      <c r="C1" s="7"/>
    </row>
    <row r="2" spans="1:3" x14ac:dyDescent="0.2">
      <c r="A2" s="7" t="s">
        <v>878</v>
      </c>
      <c r="B2" s="7" t="s">
        <v>877</v>
      </c>
      <c r="C2" s="7" t="s">
        <v>876</v>
      </c>
    </row>
    <row r="3" spans="1:3" x14ac:dyDescent="0.2">
      <c r="A3" s="80"/>
      <c r="B3" s="80"/>
    </row>
    <row r="4" spans="1:3" x14ac:dyDescent="0.2">
      <c r="A4" s="80">
        <f>COUNTA(A6:A500)</f>
        <v>40</v>
      </c>
      <c r="B4" s="80">
        <f t="shared" ref="B4:C4" si="0">COUNTA(B6:B500)</f>
        <v>375</v>
      </c>
      <c r="C4" s="80">
        <f t="shared" si="0"/>
        <v>34</v>
      </c>
    </row>
    <row r="5" spans="1:3" x14ac:dyDescent="0.2">
      <c r="A5" s="80"/>
      <c r="B5" s="80"/>
    </row>
    <row r="6" spans="1:3" x14ac:dyDescent="0.2">
      <c r="A6" t="s">
        <v>168</v>
      </c>
      <c r="B6" t="s">
        <v>22</v>
      </c>
      <c r="C6" s="5" t="s">
        <v>606</v>
      </c>
    </row>
    <row r="7" spans="1:3" x14ac:dyDescent="0.2">
      <c r="A7" t="s">
        <v>169</v>
      </c>
      <c r="B7" t="s">
        <v>144</v>
      </c>
      <c r="C7" s="5" t="s">
        <v>607</v>
      </c>
    </row>
    <row r="8" spans="1:3" x14ac:dyDescent="0.2">
      <c r="A8" t="s">
        <v>170</v>
      </c>
      <c r="B8" t="s">
        <v>23</v>
      </c>
      <c r="C8" s="80" t="s">
        <v>795</v>
      </c>
    </row>
    <row r="9" spans="1:3" x14ac:dyDescent="0.2">
      <c r="A9" t="s">
        <v>171</v>
      </c>
      <c r="B9" t="s">
        <v>24</v>
      </c>
      <c r="C9" s="5" t="s">
        <v>608</v>
      </c>
    </row>
    <row r="10" spans="1:3" x14ac:dyDescent="0.2">
      <c r="B10" t="s">
        <v>25</v>
      </c>
      <c r="C10" s="80" t="s">
        <v>764</v>
      </c>
    </row>
    <row r="11" spans="1:3" x14ac:dyDescent="0.2">
      <c r="A11" t="s">
        <v>215</v>
      </c>
      <c r="B11" t="s">
        <v>26</v>
      </c>
      <c r="C11" s="80" t="s">
        <v>765</v>
      </c>
    </row>
    <row r="12" spans="1:3" x14ac:dyDescent="0.2">
      <c r="A12" t="s">
        <v>216</v>
      </c>
    </row>
    <row r="13" spans="1:3" x14ac:dyDescent="0.2">
      <c r="A13" t="s">
        <v>217</v>
      </c>
      <c r="B13" t="s">
        <v>27</v>
      </c>
      <c r="C13" s="80" t="s">
        <v>588</v>
      </c>
    </row>
    <row r="14" spans="1:3" x14ac:dyDescent="0.2">
      <c r="B14" t="s">
        <v>145</v>
      </c>
      <c r="C14" s="80" t="s">
        <v>638</v>
      </c>
    </row>
    <row r="15" spans="1:3" x14ac:dyDescent="0.2">
      <c r="A15" t="s">
        <v>182</v>
      </c>
      <c r="B15" t="s">
        <v>28</v>
      </c>
      <c r="C15" s="80"/>
    </row>
    <row r="16" spans="1:3" x14ac:dyDescent="0.2">
      <c r="A16" t="s">
        <v>183</v>
      </c>
      <c r="B16" t="s">
        <v>29</v>
      </c>
      <c r="C16" s="80" t="s">
        <v>675</v>
      </c>
    </row>
    <row r="17" spans="1:3" x14ac:dyDescent="0.2">
      <c r="A17" t="s">
        <v>184</v>
      </c>
      <c r="B17" t="s">
        <v>30</v>
      </c>
      <c r="C17" s="80" t="s">
        <v>678</v>
      </c>
    </row>
    <row r="18" spans="1:3" x14ac:dyDescent="0.2">
      <c r="A18" t="s">
        <v>185</v>
      </c>
      <c r="B18" t="s">
        <v>31</v>
      </c>
      <c r="C18" s="80" t="s">
        <v>676</v>
      </c>
    </row>
    <row r="19" spans="1:3" x14ac:dyDescent="0.2">
      <c r="A19" t="s">
        <v>394</v>
      </c>
      <c r="C19" s="80" t="s">
        <v>679</v>
      </c>
    </row>
    <row r="20" spans="1:3" x14ac:dyDescent="0.2">
      <c r="B20" t="s">
        <v>34</v>
      </c>
      <c r="C20" s="80" t="s">
        <v>677</v>
      </c>
    </row>
    <row r="21" spans="1:3" x14ac:dyDescent="0.2">
      <c r="A21" t="s">
        <v>186</v>
      </c>
      <c r="B21" t="s">
        <v>35</v>
      </c>
      <c r="C21" s="80" t="s">
        <v>680</v>
      </c>
    </row>
    <row r="22" spans="1:3" x14ac:dyDescent="0.2">
      <c r="A22" t="s">
        <v>187</v>
      </c>
      <c r="B22" t="s">
        <v>36</v>
      </c>
      <c r="C22" s="80" t="s">
        <v>768</v>
      </c>
    </row>
    <row r="23" spans="1:3" x14ac:dyDescent="0.2">
      <c r="A23" t="s">
        <v>188</v>
      </c>
      <c r="B23" t="s">
        <v>37</v>
      </c>
      <c r="C23" s="80" t="s">
        <v>769</v>
      </c>
    </row>
    <row r="24" spans="1:3" x14ac:dyDescent="0.2">
      <c r="A24" t="s">
        <v>189</v>
      </c>
      <c r="B24" t="s">
        <v>38</v>
      </c>
      <c r="C24" s="80" t="s">
        <v>797</v>
      </c>
    </row>
    <row r="25" spans="1:3" x14ac:dyDescent="0.2">
      <c r="A25" t="s">
        <v>393</v>
      </c>
      <c r="B25" t="s">
        <v>39</v>
      </c>
      <c r="C25" s="80" t="s">
        <v>798</v>
      </c>
    </row>
    <row r="26" spans="1:3" x14ac:dyDescent="0.2">
      <c r="B26" t="s">
        <v>40</v>
      </c>
      <c r="C26" s="80" t="s">
        <v>864</v>
      </c>
    </row>
    <row r="27" spans="1:3" x14ac:dyDescent="0.2">
      <c r="A27" t="s">
        <v>382</v>
      </c>
      <c r="B27" t="s">
        <v>52</v>
      </c>
      <c r="C27" s="80" t="s">
        <v>865</v>
      </c>
    </row>
    <row r="28" spans="1:3" x14ac:dyDescent="0.2">
      <c r="A28" t="s">
        <v>389</v>
      </c>
      <c r="B28" t="s">
        <v>53</v>
      </c>
      <c r="C28" s="80"/>
    </row>
    <row r="29" spans="1:3" x14ac:dyDescent="0.2">
      <c r="A29" t="s">
        <v>383</v>
      </c>
      <c r="C29" s="80" t="s">
        <v>669</v>
      </c>
    </row>
    <row r="30" spans="1:3" x14ac:dyDescent="0.2">
      <c r="A30" t="s">
        <v>388</v>
      </c>
      <c r="B30" t="s">
        <v>41</v>
      </c>
      <c r="C30" s="80" t="s">
        <v>672</v>
      </c>
    </row>
    <row r="31" spans="1:3" x14ac:dyDescent="0.2">
      <c r="B31" t="s">
        <v>42</v>
      </c>
      <c r="C31" s="80" t="s">
        <v>670</v>
      </c>
    </row>
    <row r="32" spans="1:3" x14ac:dyDescent="0.2">
      <c r="A32" t="s">
        <v>384</v>
      </c>
      <c r="B32" t="s">
        <v>43</v>
      </c>
      <c r="C32" s="80" t="s">
        <v>673</v>
      </c>
    </row>
    <row r="33" spans="1:3" x14ac:dyDescent="0.2">
      <c r="A33" t="s">
        <v>385</v>
      </c>
      <c r="B33" t="s">
        <v>44</v>
      </c>
      <c r="C33" s="80" t="s">
        <v>671</v>
      </c>
    </row>
    <row r="34" spans="1:3" x14ac:dyDescent="0.2">
      <c r="B34" t="s">
        <v>45</v>
      </c>
      <c r="C34" s="80" t="s">
        <v>674</v>
      </c>
    </row>
    <row r="35" spans="1:3" x14ac:dyDescent="0.2">
      <c r="A35" t="s">
        <v>193</v>
      </c>
      <c r="B35" t="s">
        <v>46</v>
      </c>
      <c r="C35" s="80" t="s">
        <v>770</v>
      </c>
    </row>
    <row r="36" spans="1:3" x14ac:dyDescent="0.2">
      <c r="A36" t="s">
        <v>194</v>
      </c>
      <c r="B36" t="s">
        <v>47</v>
      </c>
      <c r="C36" s="80" t="s">
        <v>771</v>
      </c>
    </row>
    <row r="37" spans="1:3" x14ac:dyDescent="0.2">
      <c r="B37" t="s">
        <v>48</v>
      </c>
      <c r="C37" s="80"/>
    </row>
    <row r="38" spans="1:3" x14ac:dyDescent="0.2">
      <c r="A38" t="s">
        <v>174</v>
      </c>
      <c r="B38" t="s">
        <v>49</v>
      </c>
      <c r="C38" s="80" t="s">
        <v>784</v>
      </c>
    </row>
    <row r="39" spans="1:3" x14ac:dyDescent="0.2">
      <c r="A39" t="s">
        <v>175</v>
      </c>
      <c r="B39" t="s">
        <v>50</v>
      </c>
      <c r="C39" s="80" t="s">
        <v>785</v>
      </c>
    </row>
    <row r="40" spans="1:3" x14ac:dyDescent="0.2">
      <c r="A40" t="s">
        <v>179</v>
      </c>
      <c r="C40" s="80" t="s">
        <v>794</v>
      </c>
    </row>
    <row r="41" spans="1:3" x14ac:dyDescent="0.2">
      <c r="B41" t="s">
        <v>54</v>
      </c>
      <c r="C41" s="80" t="s">
        <v>786</v>
      </c>
    </row>
    <row r="42" spans="1:3" x14ac:dyDescent="0.2">
      <c r="A42" t="s">
        <v>176</v>
      </c>
      <c r="B42" t="s">
        <v>55</v>
      </c>
      <c r="C42" s="80" t="s">
        <v>787</v>
      </c>
    </row>
    <row r="43" spans="1:3" x14ac:dyDescent="0.2">
      <c r="A43" t="s">
        <v>177</v>
      </c>
      <c r="B43" t="s">
        <v>56</v>
      </c>
      <c r="C43" s="80" t="s">
        <v>788</v>
      </c>
    </row>
    <row r="44" spans="1:3" x14ac:dyDescent="0.2">
      <c r="A44" t="s">
        <v>178</v>
      </c>
      <c r="B44" t="s">
        <v>57</v>
      </c>
    </row>
    <row r="45" spans="1:3" x14ac:dyDescent="0.2">
      <c r="B45" t="s">
        <v>58</v>
      </c>
    </row>
    <row r="46" spans="1:3" x14ac:dyDescent="0.2">
      <c r="A46" t="s">
        <v>195</v>
      </c>
      <c r="B46" t="s">
        <v>59</v>
      </c>
    </row>
    <row r="47" spans="1:3" x14ac:dyDescent="0.2">
      <c r="A47" t="s">
        <v>196</v>
      </c>
      <c r="B47" t="s">
        <v>60</v>
      </c>
    </row>
    <row r="48" spans="1:3" x14ac:dyDescent="0.2">
      <c r="A48" t="s">
        <v>197</v>
      </c>
      <c r="B48" t="s">
        <v>61</v>
      </c>
    </row>
    <row r="49" spans="1:2" x14ac:dyDescent="0.2">
      <c r="B49" t="s">
        <v>62</v>
      </c>
    </row>
    <row r="50" spans="1:2" x14ac:dyDescent="0.2">
      <c r="A50" t="s">
        <v>199</v>
      </c>
      <c r="B50" t="s">
        <v>63</v>
      </c>
    </row>
    <row r="51" spans="1:2" x14ac:dyDescent="0.2">
      <c r="A51" t="s">
        <v>200</v>
      </c>
      <c r="B51" t="s">
        <v>64</v>
      </c>
    </row>
    <row r="52" spans="1:2" x14ac:dyDescent="0.2">
      <c r="A52" t="s">
        <v>201</v>
      </c>
    </row>
    <row r="53" spans="1:2" x14ac:dyDescent="0.2">
      <c r="B53" t="s">
        <v>66</v>
      </c>
    </row>
    <row r="54" spans="1:2" x14ac:dyDescent="0.2">
      <c r="A54" t="s">
        <v>203</v>
      </c>
      <c r="B54" t="s">
        <v>67</v>
      </c>
    </row>
    <row r="55" spans="1:2" x14ac:dyDescent="0.2">
      <c r="A55" t="s">
        <v>204</v>
      </c>
      <c r="B55" t="s">
        <v>68</v>
      </c>
    </row>
    <row r="56" spans="1:2" x14ac:dyDescent="0.2">
      <c r="A56" t="s">
        <v>205</v>
      </c>
      <c r="B56" t="s">
        <v>69</v>
      </c>
    </row>
    <row r="57" spans="1:2" x14ac:dyDescent="0.2">
      <c r="A57" s="7"/>
      <c r="B57" t="s">
        <v>70</v>
      </c>
    </row>
    <row r="58" spans="1:2" x14ac:dyDescent="0.2">
      <c r="B58" t="s">
        <v>71</v>
      </c>
    </row>
    <row r="59" spans="1:2" x14ac:dyDescent="0.2">
      <c r="B59" t="s">
        <v>72</v>
      </c>
    </row>
    <row r="60" spans="1:2" x14ac:dyDescent="0.2">
      <c r="B60" t="s">
        <v>73</v>
      </c>
    </row>
    <row r="61" spans="1:2" x14ac:dyDescent="0.2">
      <c r="B61" t="s">
        <v>74</v>
      </c>
    </row>
    <row r="62" spans="1:2" x14ac:dyDescent="0.2">
      <c r="B62" t="s">
        <v>75</v>
      </c>
    </row>
    <row r="63" spans="1:2" x14ac:dyDescent="0.2">
      <c r="B63" t="s">
        <v>76</v>
      </c>
    </row>
    <row r="65" spans="2:2" x14ac:dyDescent="0.2">
      <c r="B65" t="s">
        <v>133</v>
      </c>
    </row>
    <row r="66" spans="2:2" x14ac:dyDescent="0.2">
      <c r="B66" t="s">
        <v>134</v>
      </c>
    </row>
    <row r="67" spans="2:2" x14ac:dyDescent="0.2">
      <c r="B67" t="s">
        <v>135</v>
      </c>
    </row>
    <row r="68" spans="2:2" x14ac:dyDescent="0.2">
      <c r="B68" t="s">
        <v>136</v>
      </c>
    </row>
    <row r="69" spans="2:2" x14ac:dyDescent="0.2">
      <c r="B69" t="s">
        <v>137</v>
      </c>
    </row>
    <row r="70" spans="2:2" x14ac:dyDescent="0.2">
      <c r="B70" t="s">
        <v>138</v>
      </c>
    </row>
    <row r="71" spans="2:2" x14ac:dyDescent="0.2">
      <c r="B71" t="s">
        <v>139</v>
      </c>
    </row>
    <row r="72" spans="2:2" x14ac:dyDescent="0.2">
      <c r="B72" t="s">
        <v>140</v>
      </c>
    </row>
    <row r="73" spans="2:2" x14ac:dyDescent="0.2">
      <c r="B73" t="s">
        <v>141</v>
      </c>
    </row>
    <row r="74" spans="2:2" x14ac:dyDescent="0.2">
      <c r="B74" t="s">
        <v>142</v>
      </c>
    </row>
    <row r="76" spans="2:2" x14ac:dyDescent="0.2">
      <c r="B76" t="s">
        <v>125</v>
      </c>
    </row>
    <row r="77" spans="2:2" x14ac:dyDescent="0.2">
      <c r="B77" t="s">
        <v>126</v>
      </c>
    </row>
    <row r="78" spans="2:2" x14ac:dyDescent="0.2">
      <c r="B78" t="s">
        <v>127</v>
      </c>
    </row>
    <row r="79" spans="2:2" x14ac:dyDescent="0.2">
      <c r="B79" t="s">
        <v>128</v>
      </c>
    </row>
    <row r="80" spans="2:2" x14ac:dyDescent="0.2">
      <c r="B80" t="s">
        <v>129</v>
      </c>
    </row>
    <row r="81" spans="2:2" x14ac:dyDescent="0.2">
      <c r="B81" t="s">
        <v>130</v>
      </c>
    </row>
    <row r="82" spans="2:2" x14ac:dyDescent="0.2">
      <c r="B82" t="s">
        <v>131</v>
      </c>
    </row>
    <row r="83" spans="2:2" x14ac:dyDescent="0.2">
      <c r="B83" t="s">
        <v>132</v>
      </c>
    </row>
    <row r="84" spans="2:2" x14ac:dyDescent="0.2">
      <c r="B84" s="6"/>
    </row>
    <row r="85" spans="2:2" x14ac:dyDescent="0.2">
      <c r="B85" t="s">
        <v>78</v>
      </c>
    </row>
    <row r="86" spans="2:2" x14ac:dyDescent="0.2">
      <c r="B86" t="s">
        <v>79</v>
      </c>
    </row>
    <row r="87" spans="2:2" x14ac:dyDescent="0.2">
      <c r="B87" t="s">
        <v>80</v>
      </c>
    </row>
    <row r="88" spans="2:2" x14ac:dyDescent="0.2">
      <c r="B88" t="s">
        <v>81</v>
      </c>
    </row>
    <row r="89" spans="2:2" x14ac:dyDescent="0.2">
      <c r="B89" t="s">
        <v>82</v>
      </c>
    </row>
    <row r="90" spans="2:2" x14ac:dyDescent="0.2">
      <c r="B90" t="s">
        <v>83</v>
      </c>
    </row>
    <row r="91" spans="2:2" x14ac:dyDescent="0.2">
      <c r="B91" t="s">
        <v>84</v>
      </c>
    </row>
    <row r="92" spans="2:2" x14ac:dyDescent="0.2">
      <c r="B92" s="6"/>
    </row>
    <row r="93" spans="2:2" x14ac:dyDescent="0.2">
      <c r="B93" t="s">
        <v>86</v>
      </c>
    </row>
    <row r="94" spans="2:2" x14ac:dyDescent="0.2">
      <c r="B94" t="s">
        <v>87</v>
      </c>
    </row>
    <row r="95" spans="2:2" x14ac:dyDescent="0.2">
      <c r="B95" t="s">
        <v>88</v>
      </c>
    </row>
    <row r="96" spans="2:2" x14ac:dyDescent="0.2">
      <c r="B96" t="s">
        <v>89</v>
      </c>
    </row>
    <row r="97" spans="2:2" x14ac:dyDescent="0.2">
      <c r="B97" t="s">
        <v>90</v>
      </c>
    </row>
    <row r="98" spans="2:2" x14ac:dyDescent="0.2">
      <c r="B98" t="s">
        <v>91</v>
      </c>
    </row>
    <row r="99" spans="2:2" x14ac:dyDescent="0.2">
      <c r="B99" t="s">
        <v>92</v>
      </c>
    </row>
    <row r="101" spans="2:2" x14ac:dyDescent="0.2">
      <c r="B101" t="s">
        <v>95</v>
      </c>
    </row>
    <row r="102" spans="2:2" x14ac:dyDescent="0.2">
      <c r="B102" t="s">
        <v>222</v>
      </c>
    </row>
    <row r="103" spans="2:2" x14ac:dyDescent="0.2">
      <c r="B103" t="s">
        <v>96</v>
      </c>
    </row>
    <row r="104" spans="2:2" x14ac:dyDescent="0.2">
      <c r="B104" t="s">
        <v>223</v>
      </c>
    </row>
    <row r="105" spans="2:2" x14ac:dyDescent="0.2">
      <c r="B105" t="s">
        <v>97</v>
      </c>
    </row>
    <row r="106" spans="2:2" x14ac:dyDescent="0.2">
      <c r="B106" t="s">
        <v>224</v>
      </c>
    </row>
    <row r="107" spans="2:2" x14ac:dyDescent="0.2">
      <c r="B107" t="s">
        <v>98</v>
      </c>
    </row>
    <row r="108" spans="2:2" x14ac:dyDescent="0.2">
      <c r="B108" t="s">
        <v>225</v>
      </c>
    </row>
    <row r="109" spans="2:2" x14ac:dyDescent="0.2">
      <c r="B109" t="s">
        <v>99</v>
      </c>
    </row>
    <row r="110" spans="2:2" x14ac:dyDescent="0.2">
      <c r="B110" t="s">
        <v>226</v>
      </c>
    </row>
    <row r="111" spans="2:2" x14ac:dyDescent="0.2">
      <c r="B111" t="s">
        <v>100</v>
      </c>
    </row>
    <row r="112" spans="2:2" x14ac:dyDescent="0.2">
      <c r="B112" t="s">
        <v>227</v>
      </c>
    </row>
    <row r="114" spans="2:2" x14ac:dyDescent="0.2">
      <c r="B114" t="s">
        <v>101</v>
      </c>
    </row>
    <row r="115" spans="2:2" x14ac:dyDescent="0.2">
      <c r="B115" t="s">
        <v>228</v>
      </c>
    </row>
    <row r="116" spans="2:2" x14ac:dyDescent="0.2">
      <c r="B116" t="s">
        <v>102</v>
      </c>
    </row>
    <row r="117" spans="2:2" x14ac:dyDescent="0.2">
      <c r="B117" t="s">
        <v>229</v>
      </c>
    </row>
    <row r="118" spans="2:2" x14ac:dyDescent="0.2">
      <c r="B118" t="s">
        <v>103</v>
      </c>
    </row>
    <row r="119" spans="2:2" x14ac:dyDescent="0.2">
      <c r="B119" t="s">
        <v>230</v>
      </c>
    </row>
    <row r="120" spans="2:2" x14ac:dyDescent="0.2">
      <c r="B120" t="s">
        <v>104</v>
      </c>
    </row>
    <row r="121" spans="2:2" x14ac:dyDescent="0.2">
      <c r="B121" t="s">
        <v>231</v>
      </c>
    </row>
    <row r="122" spans="2:2" x14ac:dyDescent="0.2">
      <c r="B122" t="s">
        <v>105</v>
      </c>
    </row>
    <row r="123" spans="2:2" x14ac:dyDescent="0.2">
      <c r="B123" t="s">
        <v>232</v>
      </c>
    </row>
    <row r="124" spans="2:2" x14ac:dyDescent="0.2">
      <c r="B124" t="s">
        <v>106</v>
      </c>
    </row>
    <row r="125" spans="2:2" x14ac:dyDescent="0.2">
      <c r="B125" t="s">
        <v>233</v>
      </c>
    </row>
    <row r="127" spans="2:2" x14ac:dyDescent="0.2">
      <c r="B127" t="s">
        <v>403</v>
      </c>
    </row>
    <row r="128" spans="2:2" x14ac:dyDescent="0.2">
      <c r="B128" t="s">
        <v>404</v>
      </c>
    </row>
    <row r="129" spans="2:2" x14ac:dyDescent="0.2">
      <c r="B129" t="s">
        <v>405</v>
      </c>
    </row>
    <row r="130" spans="2:2" x14ac:dyDescent="0.2">
      <c r="B130" t="s">
        <v>406</v>
      </c>
    </row>
    <row r="131" spans="2:2" x14ac:dyDescent="0.2">
      <c r="B131" t="s">
        <v>407</v>
      </c>
    </row>
    <row r="132" spans="2:2" x14ac:dyDescent="0.2">
      <c r="B132" t="s">
        <v>408</v>
      </c>
    </row>
    <row r="133" spans="2:2" x14ac:dyDescent="0.2">
      <c r="B133" t="s">
        <v>402</v>
      </c>
    </row>
    <row r="134" spans="2:2" x14ac:dyDescent="0.2">
      <c r="B134" t="s">
        <v>409</v>
      </c>
    </row>
    <row r="135" spans="2:2" x14ac:dyDescent="0.2">
      <c r="B135" t="s">
        <v>410</v>
      </c>
    </row>
    <row r="136" spans="2:2" x14ac:dyDescent="0.2">
      <c r="B136" t="s">
        <v>411</v>
      </c>
    </row>
    <row r="138" spans="2:2" x14ac:dyDescent="0.2">
      <c r="B138" s="80" t="s">
        <v>814</v>
      </c>
    </row>
    <row r="139" spans="2:2" x14ac:dyDescent="0.2">
      <c r="B139" s="80" t="s">
        <v>815</v>
      </c>
    </row>
    <row r="140" spans="2:2" x14ac:dyDescent="0.2">
      <c r="B140" s="80" t="s">
        <v>844</v>
      </c>
    </row>
    <row r="141" spans="2:2" x14ac:dyDescent="0.2">
      <c r="B141" s="80" t="s">
        <v>846</v>
      </c>
    </row>
    <row r="142" spans="2:2" x14ac:dyDescent="0.2">
      <c r="B142" s="80" t="s">
        <v>848</v>
      </c>
    </row>
    <row r="144" spans="2:2" x14ac:dyDescent="0.2">
      <c r="B144" t="s">
        <v>412</v>
      </c>
    </row>
    <row r="145" spans="2:2" x14ac:dyDescent="0.2">
      <c r="B145" t="s">
        <v>413</v>
      </c>
    </row>
    <row r="146" spans="2:2" x14ac:dyDescent="0.2">
      <c r="B146" t="s">
        <v>414</v>
      </c>
    </row>
    <row r="147" spans="2:2" x14ac:dyDescent="0.2">
      <c r="B147" t="s">
        <v>415</v>
      </c>
    </row>
    <row r="148" spans="2:2" x14ac:dyDescent="0.2">
      <c r="B148" t="s">
        <v>416</v>
      </c>
    </row>
    <row r="150" spans="2:2" x14ac:dyDescent="0.2">
      <c r="B150" t="s">
        <v>431</v>
      </c>
    </row>
    <row r="151" spans="2:2" x14ac:dyDescent="0.2">
      <c r="B151" t="s">
        <v>433</v>
      </c>
    </row>
    <row r="152" spans="2:2" x14ac:dyDescent="0.2">
      <c r="B152" t="s">
        <v>435</v>
      </c>
    </row>
    <row r="153" spans="2:2" x14ac:dyDescent="0.2">
      <c r="B153" t="s">
        <v>437</v>
      </c>
    </row>
    <row r="154" spans="2:2" x14ac:dyDescent="0.2">
      <c r="B154" t="s">
        <v>439</v>
      </c>
    </row>
    <row r="155" spans="2:2" x14ac:dyDescent="0.2">
      <c r="B155" t="s">
        <v>441</v>
      </c>
    </row>
    <row r="156" spans="2:2" x14ac:dyDescent="0.2">
      <c r="B156" t="s">
        <v>443</v>
      </c>
    </row>
    <row r="157" spans="2:2" x14ac:dyDescent="0.2">
      <c r="B157" t="s">
        <v>445</v>
      </c>
    </row>
    <row r="158" spans="2:2" x14ac:dyDescent="0.2">
      <c r="B158" t="s">
        <v>447</v>
      </c>
    </row>
    <row r="159" spans="2:2" x14ac:dyDescent="0.2">
      <c r="B159" t="s">
        <v>449</v>
      </c>
    </row>
    <row r="160" spans="2:2" x14ac:dyDescent="0.2">
      <c r="B160" t="s">
        <v>450</v>
      </c>
    </row>
    <row r="161" spans="2:2" x14ac:dyDescent="0.2">
      <c r="B161" t="s">
        <v>452</v>
      </c>
    </row>
    <row r="162" spans="2:2" x14ac:dyDescent="0.2">
      <c r="B162" t="s">
        <v>453</v>
      </c>
    </row>
    <row r="163" spans="2:2" x14ac:dyDescent="0.2">
      <c r="B163" t="s">
        <v>455</v>
      </c>
    </row>
    <row r="164" spans="2:2" x14ac:dyDescent="0.2">
      <c r="B164" t="s">
        <v>456</v>
      </c>
    </row>
    <row r="165" spans="2:2" x14ac:dyDescent="0.2">
      <c r="B165" t="s">
        <v>457</v>
      </c>
    </row>
    <row r="166" spans="2:2" x14ac:dyDescent="0.2">
      <c r="B166" t="s">
        <v>459</v>
      </c>
    </row>
    <row r="167" spans="2:2" x14ac:dyDescent="0.2">
      <c r="B167" t="s">
        <v>461</v>
      </c>
    </row>
    <row r="168" spans="2:2" x14ac:dyDescent="0.2">
      <c r="B168" t="s">
        <v>463</v>
      </c>
    </row>
    <row r="169" spans="2:2" x14ac:dyDescent="0.2">
      <c r="B169" t="s">
        <v>464</v>
      </c>
    </row>
    <row r="170" spans="2:2" x14ac:dyDescent="0.2">
      <c r="B170" t="s">
        <v>465</v>
      </c>
    </row>
    <row r="171" spans="2:2" x14ac:dyDescent="0.2">
      <c r="B171" t="s">
        <v>467</v>
      </c>
    </row>
    <row r="172" spans="2:2" x14ac:dyDescent="0.2">
      <c r="B172" t="s">
        <v>469</v>
      </c>
    </row>
    <row r="173" spans="2:2" x14ac:dyDescent="0.2">
      <c r="B173" t="s">
        <v>471</v>
      </c>
    </row>
    <row r="174" spans="2:2" x14ac:dyDescent="0.2">
      <c r="B174" t="s">
        <v>472</v>
      </c>
    </row>
    <row r="175" spans="2:2" x14ac:dyDescent="0.2">
      <c r="B175" t="s">
        <v>474</v>
      </c>
    </row>
    <row r="176" spans="2:2" x14ac:dyDescent="0.2">
      <c r="B176" t="s">
        <v>475</v>
      </c>
    </row>
    <row r="177" spans="2:2" x14ac:dyDescent="0.2">
      <c r="B177" t="s">
        <v>477</v>
      </c>
    </row>
    <row r="178" spans="2:2" x14ac:dyDescent="0.2">
      <c r="B178" t="s">
        <v>478</v>
      </c>
    </row>
    <row r="179" spans="2:2" x14ac:dyDescent="0.2">
      <c r="B179" t="s">
        <v>479</v>
      </c>
    </row>
    <row r="180" spans="2:2" x14ac:dyDescent="0.2">
      <c r="B180" t="s">
        <v>480</v>
      </c>
    </row>
    <row r="181" spans="2:2" x14ac:dyDescent="0.2">
      <c r="B181" t="s">
        <v>481</v>
      </c>
    </row>
    <row r="183" spans="2:2" x14ac:dyDescent="0.2">
      <c r="B183" s="80" t="s">
        <v>809</v>
      </c>
    </row>
    <row r="184" spans="2:2" x14ac:dyDescent="0.2">
      <c r="B184" s="80" t="s">
        <v>852</v>
      </c>
    </row>
    <row r="185" spans="2:2" x14ac:dyDescent="0.2">
      <c r="B185" s="80" t="s">
        <v>810</v>
      </c>
    </row>
    <row r="186" spans="2:2" x14ac:dyDescent="0.2">
      <c r="B186" s="80" t="s">
        <v>849</v>
      </c>
    </row>
    <row r="187" spans="2:2" x14ac:dyDescent="0.2">
      <c r="B187" s="80" t="s">
        <v>850</v>
      </c>
    </row>
    <row r="188" spans="2:2" x14ac:dyDescent="0.2">
      <c r="B188" s="80" t="s">
        <v>851</v>
      </c>
    </row>
    <row r="190" spans="2:2" x14ac:dyDescent="0.2">
      <c r="B190" t="s">
        <v>482</v>
      </c>
    </row>
    <row r="191" spans="2:2" x14ac:dyDescent="0.2">
      <c r="B191" t="s">
        <v>483</v>
      </c>
    </row>
    <row r="192" spans="2:2" x14ac:dyDescent="0.2">
      <c r="B192" t="s">
        <v>484</v>
      </c>
    </row>
    <row r="193" spans="2:2" x14ac:dyDescent="0.2">
      <c r="B193" t="s">
        <v>485</v>
      </c>
    </row>
    <row r="194" spans="2:2" x14ac:dyDescent="0.2">
      <c r="B194" t="s">
        <v>486</v>
      </c>
    </row>
    <row r="195" spans="2:2" x14ac:dyDescent="0.2">
      <c r="B195" t="s">
        <v>487</v>
      </c>
    </row>
    <row r="196" spans="2:2" x14ac:dyDescent="0.2">
      <c r="B196" t="s">
        <v>488</v>
      </c>
    </row>
    <row r="197" spans="2:2" x14ac:dyDescent="0.2">
      <c r="B197" t="s">
        <v>489</v>
      </c>
    </row>
    <row r="198" spans="2:2" x14ac:dyDescent="0.2">
      <c r="B198" t="s">
        <v>490</v>
      </c>
    </row>
    <row r="199" spans="2:2" x14ac:dyDescent="0.2">
      <c r="B199" t="s">
        <v>491</v>
      </c>
    </row>
    <row r="200" spans="2:2" x14ac:dyDescent="0.2">
      <c r="B200" t="s">
        <v>492</v>
      </c>
    </row>
    <row r="201" spans="2:2" x14ac:dyDescent="0.2">
      <c r="B201" t="s">
        <v>493</v>
      </c>
    </row>
    <row r="202" spans="2:2" x14ac:dyDescent="0.2">
      <c r="B202" t="s">
        <v>494</v>
      </c>
    </row>
    <row r="203" spans="2:2" x14ac:dyDescent="0.2">
      <c r="B203" t="s">
        <v>495</v>
      </c>
    </row>
    <row r="204" spans="2:2" x14ac:dyDescent="0.2">
      <c r="B204" t="s">
        <v>496</v>
      </c>
    </row>
    <row r="206" spans="2:2" x14ac:dyDescent="0.2">
      <c r="B206" s="80" t="s">
        <v>778</v>
      </c>
    </row>
    <row r="207" spans="2:2" x14ac:dyDescent="0.2">
      <c r="B207" t="s">
        <v>161</v>
      </c>
    </row>
    <row r="208" spans="2:2" x14ac:dyDescent="0.2">
      <c r="B208" t="s">
        <v>162</v>
      </c>
    </row>
    <row r="209" spans="2:2" x14ac:dyDescent="0.2">
      <c r="B209" t="s">
        <v>160</v>
      </c>
    </row>
    <row r="210" spans="2:2" x14ac:dyDescent="0.2">
      <c r="B210" t="s">
        <v>163</v>
      </c>
    </row>
    <row r="211" spans="2:2" x14ac:dyDescent="0.2">
      <c r="B211" s="80" t="s">
        <v>779</v>
      </c>
    </row>
    <row r="212" spans="2:2" x14ac:dyDescent="0.2">
      <c r="B212" s="80" t="s">
        <v>780</v>
      </c>
    </row>
    <row r="213" spans="2:2" x14ac:dyDescent="0.2">
      <c r="B213" s="80" t="s">
        <v>781</v>
      </c>
    </row>
    <row r="214" spans="2:2" x14ac:dyDescent="0.2">
      <c r="B214" s="80" t="s">
        <v>782</v>
      </c>
    </row>
    <row r="215" spans="2:2" x14ac:dyDescent="0.2">
      <c r="B215" t="s">
        <v>164</v>
      </c>
    </row>
    <row r="217" spans="2:2" x14ac:dyDescent="0.2">
      <c r="B217" t="s">
        <v>369</v>
      </c>
    </row>
    <row r="218" spans="2:2" x14ac:dyDescent="0.2">
      <c r="B218" t="s">
        <v>370</v>
      </c>
    </row>
    <row r="219" spans="2:2" x14ac:dyDescent="0.2">
      <c r="B219" t="s">
        <v>371</v>
      </c>
    </row>
    <row r="220" spans="2:2" x14ac:dyDescent="0.2">
      <c r="B220" t="s">
        <v>372</v>
      </c>
    </row>
    <row r="221" spans="2:2" x14ac:dyDescent="0.2">
      <c r="B221" t="s">
        <v>380</v>
      </c>
    </row>
    <row r="222" spans="2:2" x14ac:dyDescent="0.2">
      <c r="B222" t="s">
        <v>379</v>
      </c>
    </row>
    <row r="223" spans="2:2" x14ac:dyDescent="0.2">
      <c r="B223" t="s">
        <v>378</v>
      </c>
    </row>
    <row r="224" spans="2:2" x14ac:dyDescent="0.2">
      <c r="B224" t="s">
        <v>377</v>
      </c>
    </row>
    <row r="226" spans="2:2" x14ac:dyDescent="0.2">
      <c r="B226" t="s">
        <v>358</v>
      </c>
    </row>
    <row r="227" spans="2:2" x14ac:dyDescent="0.2">
      <c r="B227" t="s">
        <v>359</v>
      </c>
    </row>
    <row r="228" spans="2:2" x14ac:dyDescent="0.2">
      <c r="B228" t="s">
        <v>360</v>
      </c>
    </row>
    <row r="229" spans="2:2" x14ac:dyDescent="0.2">
      <c r="B229" t="s">
        <v>361</v>
      </c>
    </row>
    <row r="230" spans="2:2" x14ac:dyDescent="0.2">
      <c r="B230" t="s">
        <v>362</v>
      </c>
    </row>
    <row r="232" spans="2:2" x14ac:dyDescent="0.2">
      <c r="B232" t="s">
        <v>363</v>
      </c>
    </row>
    <row r="233" spans="2:2" x14ac:dyDescent="0.2">
      <c r="B233" t="s">
        <v>364</v>
      </c>
    </row>
    <row r="234" spans="2:2" x14ac:dyDescent="0.2">
      <c r="B234" t="s">
        <v>365</v>
      </c>
    </row>
    <row r="235" spans="2:2" x14ac:dyDescent="0.2">
      <c r="B235" t="s">
        <v>366</v>
      </c>
    </row>
    <row r="236" spans="2:2" x14ac:dyDescent="0.2">
      <c r="B236" t="s">
        <v>367</v>
      </c>
    </row>
    <row r="238" spans="2:2" x14ac:dyDescent="0.2">
      <c r="B238" t="s">
        <v>502</v>
      </c>
    </row>
    <row r="239" spans="2:2" x14ac:dyDescent="0.2">
      <c r="B239" t="s">
        <v>503</v>
      </c>
    </row>
    <row r="240" spans="2:2" x14ac:dyDescent="0.2">
      <c r="B240" t="s">
        <v>504</v>
      </c>
    </row>
    <row r="241" spans="2:2" x14ac:dyDescent="0.2">
      <c r="B241" t="s">
        <v>505</v>
      </c>
    </row>
    <row r="242" spans="2:2" x14ac:dyDescent="0.2">
      <c r="B242" t="s">
        <v>506</v>
      </c>
    </row>
    <row r="243" spans="2:2" x14ac:dyDescent="0.2">
      <c r="B243" t="s">
        <v>507</v>
      </c>
    </row>
    <row r="244" spans="2:2" x14ac:dyDescent="0.2">
      <c r="B244" t="s">
        <v>508</v>
      </c>
    </row>
    <row r="245" spans="2:2" x14ac:dyDescent="0.2">
      <c r="B245" t="s">
        <v>509</v>
      </c>
    </row>
    <row r="246" spans="2:2" x14ac:dyDescent="0.2">
      <c r="B246" t="s">
        <v>510</v>
      </c>
    </row>
    <row r="247" spans="2:2" x14ac:dyDescent="0.2">
      <c r="B247" t="s">
        <v>511</v>
      </c>
    </row>
    <row r="248" spans="2:2" x14ac:dyDescent="0.2">
      <c r="B248" t="s">
        <v>512</v>
      </c>
    </row>
    <row r="249" spans="2:2" x14ac:dyDescent="0.2">
      <c r="B249" t="s">
        <v>513</v>
      </c>
    </row>
    <row r="250" spans="2:2" x14ac:dyDescent="0.2">
      <c r="B250" t="s">
        <v>514</v>
      </c>
    </row>
    <row r="251" spans="2:2" x14ac:dyDescent="0.2">
      <c r="B251" t="s">
        <v>515</v>
      </c>
    </row>
    <row r="253" spans="2:2" x14ac:dyDescent="0.2">
      <c r="B253" t="s">
        <v>516</v>
      </c>
    </row>
    <row r="254" spans="2:2" x14ac:dyDescent="0.2">
      <c r="B254" t="s">
        <v>517</v>
      </c>
    </row>
    <row r="255" spans="2:2" x14ac:dyDescent="0.2">
      <c r="B255" t="s">
        <v>518</v>
      </c>
    </row>
    <row r="256" spans="2:2" x14ac:dyDescent="0.2">
      <c r="B256" t="s">
        <v>519</v>
      </c>
    </row>
    <row r="257" spans="2:2" x14ac:dyDescent="0.2">
      <c r="B257" t="s">
        <v>520</v>
      </c>
    </row>
    <row r="258" spans="2:2" x14ac:dyDescent="0.2">
      <c r="B258" t="s">
        <v>521</v>
      </c>
    </row>
    <row r="259" spans="2:2" x14ac:dyDescent="0.2">
      <c r="B259" t="s">
        <v>522</v>
      </c>
    </row>
    <row r="260" spans="2:2" x14ac:dyDescent="0.2">
      <c r="B260" t="s">
        <v>523</v>
      </c>
    </row>
    <row r="261" spans="2:2" x14ac:dyDescent="0.2">
      <c r="B261" t="s">
        <v>524</v>
      </c>
    </row>
    <row r="262" spans="2:2" x14ac:dyDescent="0.2">
      <c r="B262" t="s">
        <v>525</v>
      </c>
    </row>
    <row r="263" spans="2:2" x14ac:dyDescent="0.2">
      <c r="B263" t="s">
        <v>526</v>
      </c>
    </row>
    <row r="264" spans="2:2" x14ac:dyDescent="0.2">
      <c r="B264" t="s">
        <v>527</v>
      </c>
    </row>
    <row r="265" spans="2:2" x14ac:dyDescent="0.2">
      <c r="B265" t="s">
        <v>528</v>
      </c>
    </row>
    <row r="266" spans="2:2" x14ac:dyDescent="0.2">
      <c r="B266" t="s">
        <v>529</v>
      </c>
    </row>
    <row r="268" spans="2:2" x14ac:dyDescent="0.2">
      <c r="B268" t="s">
        <v>536</v>
      </c>
    </row>
    <row r="269" spans="2:2" x14ac:dyDescent="0.2">
      <c r="B269" t="s">
        <v>537</v>
      </c>
    </row>
    <row r="270" spans="2:2" x14ac:dyDescent="0.2">
      <c r="B270" t="s">
        <v>538</v>
      </c>
    </row>
    <row r="271" spans="2:2" x14ac:dyDescent="0.2">
      <c r="B271" t="s">
        <v>539</v>
      </c>
    </row>
    <row r="272" spans="2:2" x14ac:dyDescent="0.2">
      <c r="B272" t="s">
        <v>540</v>
      </c>
    </row>
    <row r="273" spans="2:2" x14ac:dyDescent="0.2">
      <c r="B273" t="s">
        <v>541</v>
      </c>
    </row>
    <row r="274" spans="2:2" x14ac:dyDescent="0.2">
      <c r="B274" t="s">
        <v>549</v>
      </c>
    </row>
    <row r="276" spans="2:2" x14ac:dyDescent="0.2">
      <c r="B276" t="s">
        <v>543</v>
      </c>
    </row>
    <row r="277" spans="2:2" x14ac:dyDescent="0.2">
      <c r="B277" t="s">
        <v>544</v>
      </c>
    </row>
    <row r="278" spans="2:2" x14ac:dyDescent="0.2">
      <c r="B278" t="s">
        <v>545</v>
      </c>
    </row>
    <row r="279" spans="2:2" x14ac:dyDescent="0.2">
      <c r="B279" t="s">
        <v>546</v>
      </c>
    </row>
    <row r="280" spans="2:2" x14ac:dyDescent="0.2">
      <c r="B280" t="s">
        <v>547</v>
      </c>
    </row>
    <row r="281" spans="2:2" x14ac:dyDescent="0.2">
      <c r="B281" t="s">
        <v>548</v>
      </c>
    </row>
    <row r="282" spans="2:2" x14ac:dyDescent="0.2">
      <c r="B282" t="s">
        <v>550</v>
      </c>
    </row>
    <row r="283" spans="2:2" x14ac:dyDescent="0.2">
      <c r="B283" t="s">
        <v>551</v>
      </c>
    </row>
    <row r="284" spans="2:2" x14ac:dyDescent="0.2">
      <c r="B284" t="s">
        <v>552</v>
      </c>
    </row>
    <row r="285" spans="2:2" x14ac:dyDescent="0.2">
      <c r="B285" t="s">
        <v>553</v>
      </c>
    </row>
    <row r="286" spans="2:2" x14ac:dyDescent="0.2">
      <c r="B286" t="s">
        <v>554</v>
      </c>
    </row>
    <row r="287" spans="2:2" x14ac:dyDescent="0.2">
      <c r="B287" t="s">
        <v>555</v>
      </c>
    </row>
    <row r="288" spans="2:2" x14ac:dyDescent="0.2">
      <c r="B288" t="s">
        <v>556</v>
      </c>
    </row>
    <row r="289" spans="2:2" x14ac:dyDescent="0.2">
      <c r="B289" t="s">
        <v>557</v>
      </c>
    </row>
    <row r="290" spans="2:2" x14ac:dyDescent="0.2">
      <c r="B290" t="s">
        <v>558</v>
      </c>
    </row>
    <row r="292" spans="2:2" x14ac:dyDescent="0.2">
      <c r="B292" t="s">
        <v>296</v>
      </c>
    </row>
    <row r="293" spans="2:2" x14ac:dyDescent="0.2">
      <c r="B293" t="s">
        <v>297</v>
      </c>
    </row>
    <row r="294" spans="2:2" x14ac:dyDescent="0.2">
      <c r="B294" t="s">
        <v>298</v>
      </c>
    </row>
    <row r="295" spans="2:2" x14ac:dyDescent="0.2">
      <c r="B295" t="s">
        <v>241</v>
      </c>
    </row>
    <row r="296" spans="2:2" x14ac:dyDescent="0.2">
      <c r="B296" t="s">
        <v>242</v>
      </c>
    </row>
    <row r="297" spans="2:2" x14ac:dyDescent="0.2">
      <c r="B297" t="s">
        <v>243</v>
      </c>
    </row>
    <row r="298" spans="2:2" x14ac:dyDescent="0.2">
      <c r="B298" t="s">
        <v>299</v>
      </c>
    </row>
    <row r="299" spans="2:2" x14ac:dyDescent="0.2">
      <c r="B299" t="s">
        <v>300</v>
      </c>
    </row>
    <row r="300" spans="2:2" x14ac:dyDescent="0.2">
      <c r="B300" t="s">
        <v>301</v>
      </c>
    </row>
    <row r="301" spans="2:2" x14ac:dyDescent="0.2">
      <c r="B301" t="s">
        <v>244</v>
      </c>
    </row>
    <row r="302" spans="2:2" x14ac:dyDescent="0.2">
      <c r="B302" t="s">
        <v>302</v>
      </c>
    </row>
    <row r="303" spans="2:2" x14ac:dyDescent="0.2">
      <c r="B303" t="s">
        <v>303</v>
      </c>
    </row>
    <row r="304" spans="2:2" x14ac:dyDescent="0.2">
      <c r="B304" t="s">
        <v>304</v>
      </c>
    </row>
    <row r="305" spans="2:2" x14ac:dyDescent="0.2">
      <c r="B305" t="s">
        <v>305</v>
      </c>
    </row>
    <row r="306" spans="2:2" x14ac:dyDescent="0.2">
      <c r="B306" t="s">
        <v>245</v>
      </c>
    </row>
    <row r="307" spans="2:2" x14ac:dyDescent="0.2">
      <c r="B307" t="s">
        <v>306</v>
      </c>
    </row>
    <row r="308" spans="2:2" x14ac:dyDescent="0.2">
      <c r="B308" t="s">
        <v>307</v>
      </c>
    </row>
    <row r="309" spans="2:2" x14ac:dyDescent="0.2">
      <c r="B309" t="s">
        <v>246</v>
      </c>
    </row>
    <row r="310" spans="2:2" x14ac:dyDescent="0.2">
      <c r="B310" t="s">
        <v>308</v>
      </c>
    </row>
    <row r="311" spans="2:2" x14ac:dyDescent="0.2">
      <c r="B311" t="s">
        <v>309</v>
      </c>
    </row>
    <row r="312" spans="2:2" x14ac:dyDescent="0.2">
      <c r="B312" t="s">
        <v>310</v>
      </c>
    </row>
    <row r="313" spans="2:2" x14ac:dyDescent="0.2">
      <c r="B313" t="s">
        <v>311</v>
      </c>
    </row>
    <row r="314" spans="2:2" x14ac:dyDescent="0.2">
      <c r="B314" t="s">
        <v>312</v>
      </c>
    </row>
    <row r="315" spans="2:2" x14ac:dyDescent="0.2">
      <c r="B315" t="s">
        <v>247</v>
      </c>
    </row>
    <row r="316" spans="2:2" x14ac:dyDescent="0.2">
      <c r="B316" t="s">
        <v>313</v>
      </c>
    </row>
    <row r="317" spans="2:2" x14ac:dyDescent="0.2">
      <c r="B317" t="s">
        <v>314</v>
      </c>
    </row>
    <row r="318" spans="2:2" x14ac:dyDescent="0.2">
      <c r="B318" t="s">
        <v>248</v>
      </c>
    </row>
    <row r="319" spans="2:2" x14ac:dyDescent="0.2">
      <c r="B319" t="s">
        <v>315</v>
      </c>
    </row>
    <row r="322" spans="2:2" x14ac:dyDescent="0.2">
      <c r="B322" t="s">
        <v>331</v>
      </c>
    </row>
    <row r="323" spans="2:2" x14ac:dyDescent="0.2">
      <c r="B323" t="s">
        <v>332</v>
      </c>
    </row>
    <row r="324" spans="2:2" x14ac:dyDescent="0.2">
      <c r="B324" t="s">
        <v>333</v>
      </c>
    </row>
    <row r="325" spans="2:2" x14ac:dyDescent="0.2">
      <c r="B325" t="s">
        <v>251</v>
      </c>
    </row>
    <row r="326" spans="2:2" x14ac:dyDescent="0.2">
      <c r="B326" t="s">
        <v>252</v>
      </c>
    </row>
    <row r="327" spans="2:2" x14ac:dyDescent="0.2">
      <c r="B327" t="s">
        <v>253</v>
      </c>
    </row>
    <row r="328" spans="2:2" x14ac:dyDescent="0.2">
      <c r="B328" t="s">
        <v>334</v>
      </c>
    </row>
    <row r="329" spans="2:2" x14ac:dyDescent="0.2">
      <c r="B329" t="s">
        <v>335</v>
      </c>
    </row>
    <row r="330" spans="2:2" x14ac:dyDescent="0.2">
      <c r="B330" t="s">
        <v>254</v>
      </c>
    </row>
    <row r="331" spans="2:2" x14ac:dyDescent="0.2">
      <c r="B331" t="s">
        <v>336</v>
      </c>
    </row>
    <row r="332" spans="2:2" x14ac:dyDescent="0.2">
      <c r="B332" t="s">
        <v>337</v>
      </c>
    </row>
    <row r="333" spans="2:2" x14ac:dyDescent="0.2">
      <c r="B333" t="s">
        <v>255</v>
      </c>
    </row>
    <row r="334" spans="2:2" x14ac:dyDescent="0.2">
      <c r="B334" t="s">
        <v>256</v>
      </c>
    </row>
    <row r="335" spans="2:2" x14ac:dyDescent="0.2">
      <c r="B335" t="s">
        <v>338</v>
      </c>
    </row>
    <row r="336" spans="2:2" x14ac:dyDescent="0.2">
      <c r="B336" t="s">
        <v>263</v>
      </c>
    </row>
    <row r="337" spans="2:2" x14ac:dyDescent="0.2">
      <c r="B337" t="s">
        <v>339</v>
      </c>
    </row>
    <row r="338" spans="2:2" x14ac:dyDescent="0.2">
      <c r="B338" t="s">
        <v>264</v>
      </c>
    </row>
    <row r="341" spans="2:2" x14ac:dyDescent="0.2">
      <c r="B341" t="s">
        <v>340</v>
      </c>
    </row>
    <row r="342" spans="2:2" x14ac:dyDescent="0.2">
      <c r="B342" t="s">
        <v>341</v>
      </c>
    </row>
    <row r="343" spans="2:2" x14ac:dyDescent="0.2">
      <c r="B343" t="s">
        <v>342</v>
      </c>
    </row>
    <row r="344" spans="2:2" x14ac:dyDescent="0.2">
      <c r="B344" t="s">
        <v>257</v>
      </c>
    </row>
    <row r="345" spans="2:2" x14ac:dyDescent="0.2">
      <c r="B345" t="s">
        <v>258</v>
      </c>
    </row>
    <row r="346" spans="2:2" x14ac:dyDescent="0.2">
      <c r="B346" t="s">
        <v>259</v>
      </c>
    </row>
    <row r="347" spans="2:2" x14ac:dyDescent="0.2">
      <c r="B347" t="s">
        <v>343</v>
      </c>
    </row>
    <row r="348" spans="2:2" x14ac:dyDescent="0.2">
      <c r="B348" t="s">
        <v>344</v>
      </c>
    </row>
    <row r="349" spans="2:2" x14ac:dyDescent="0.2">
      <c r="B349" t="s">
        <v>260</v>
      </c>
    </row>
    <row r="350" spans="2:2" x14ac:dyDescent="0.2">
      <c r="B350" t="s">
        <v>345</v>
      </c>
    </row>
    <row r="351" spans="2:2" x14ac:dyDescent="0.2">
      <c r="B351" t="s">
        <v>346</v>
      </c>
    </row>
    <row r="352" spans="2:2" x14ac:dyDescent="0.2">
      <c r="B352" t="s">
        <v>261</v>
      </c>
    </row>
    <row r="353" spans="2:2" x14ac:dyDescent="0.2">
      <c r="B353" t="s">
        <v>347</v>
      </c>
    </row>
    <row r="354" spans="2:2" x14ac:dyDescent="0.2">
      <c r="B354" t="s">
        <v>262</v>
      </c>
    </row>
    <row r="355" spans="2:2" x14ac:dyDescent="0.2">
      <c r="B355" t="s">
        <v>348</v>
      </c>
    </row>
    <row r="356" spans="2:2" x14ac:dyDescent="0.2">
      <c r="B356" t="s">
        <v>349</v>
      </c>
    </row>
    <row r="357" spans="2:2" x14ac:dyDescent="0.2">
      <c r="B357" t="s">
        <v>350</v>
      </c>
    </row>
    <row r="358" spans="2:2" x14ac:dyDescent="0.2">
      <c r="B358" t="s">
        <v>265</v>
      </c>
    </row>
    <row r="359" spans="2:2" x14ac:dyDescent="0.2">
      <c r="B359" t="s">
        <v>266</v>
      </c>
    </row>
    <row r="361" spans="2:2" x14ac:dyDescent="0.2">
      <c r="B361" s="80" t="s">
        <v>627</v>
      </c>
    </row>
    <row r="362" spans="2:2" x14ac:dyDescent="0.2">
      <c r="B362" s="80" t="s">
        <v>628</v>
      </c>
    </row>
    <row r="363" spans="2:2" x14ac:dyDescent="0.2">
      <c r="B363" s="80" t="s">
        <v>629</v>
      </c>
    </row>
    <row r="364" spans="2:2" x14ac:dyDescent="0.2">
      <c r="B364" s="80" t="s">
        <v>630</v>
      </c>
    </row>
    <row r="365" spans="2:2" x14ac:dyDescent="0.2">
      <c r="B365" s="80" t="s">
        <v>631</v>
      </c>
    </row>
    <row r="366" spans="2:2" x14ac:dyDescent="0.2">
      <c r="B366" s="80" t="s">
        <v>632</v>
      </c>
    </row>
    <row r="367" spans="2:2" x14ac:dyDescent="0.2">
      <c r="B367" s="80" t="s">
        <v>634</v>
      </c>
    </row>
    <row r="368" spans="2:2" x14ac:dyDescent="0.2">
      <c r="B368" s="80" t="s">
        <v>633</v>
      </c>
    </row>
    <row r="369" spans="2:2" x14ac:dyDescent="0.2">
      <c r="B369" s="80" t="s">
        <v>635</v>
      </c>
    </row>
    <row r="370" spans="2:2" x14ac:dyDescent="0.2">
      <c r="B370" s="80" t="s">
        <v>636</v>
      </c>
    </row>
    <row r="371" spans="2:2" x14ac:dyDescent="0.2">
      <c r="B371" s="80" t="s">
        <v>637</v>
      </c>
    </row>
    <row r="372" spans="2:2" x14ac:dyDescent="0.2">
      <c r="B372" t="s">
        <v>116</v>
      </c>
    </row>
    <row r="373" spans="2:2" x14ac:dyDescent="0.2">
      <c r="B373" s="80" t="s">
        <v>716</v>
      </c>
    </row>
    <row r="374" spans="2:2" x14ac:dyDescent="0.2">
      <c r="B374" t="s">
        <v>286</v>
      </c>
    </row>
    <row r="375" spans="2:2" x14ac:dyDescent="0.2">
      <c r="B375" t="s">
        <v>117</v>
      </c>
    </row>
    <row r="376" spans="2:2" x14ac:dyDescent="0.2">
      <c r="B376" t="s">
        <v>288</v>
      </c>
    </row>
    <row r="377" spans="2:2" x14ac:dyDescent="0.2">
      <c r="B377" t="s">
        <v>118</v>
      </c>
    </row>
    <row r="378" spans="2:2" x14ac:dyDescent="0.2">
      <c r="B378" t="s">
        <v>291</v>
      </c>
    </row>
    <row r="379" spans="2:2" x14ac:dyDescent="0.2">
      <c r="B379" t="s">
        <v>119</v>
      </c>
    </row>
    <row r="380" spans="2:2" x14ac:dyDescent="0.2">
      <c r="B380" t="s">
        <v>293</v>
      </c>
    </row>
    <row r="383" spans="2:2" x14ac:dyDescent="0.2">
      <c r="B383" s="80" t="s">
        <v>693</v>
      </c>
    </row>
    <row r="384" spans="2:2" x14ac:dyDescent="0.2">
      <c r="B384" s="80" t="s">
        <v>694</v>
      </c>
    </row>
    <row r="385" spans="2:2" x14ac:dyDescent="0.2">
      <c r="B385" t="s">
        <v>695</v>
      </c>
    </row>
    <row r="386" spans="2:2" x14ac:dyDescent="0.2">
      <c r="B386" s="80" t="s">
        <v>696</v>
      </c>
    </row>
    <row r="387" spans="2:2" x14ac:dyDescent="0.2">
      <c r="B387" t="s">
        <v>697</v>
      </c>
    </row>
    <row r="388" spans="2:2" x14ac:dyDescent="0.2">
      <c r="B388" t="s">
        <v>698</v>
      </c>
    </row>
    <row r="389" spans="2:2" x14ac:dyDescent="0.2">
      <c r="B389" t="s">
        <v>712</v>
      </c>
    </row>
    <row r="390" spans="2:2" x14ac:dyDescent="0.2">
      <c r="B390" s="80" t="s">
        <v>711</v>
      </c>
    </row>
    <row r="391" spans="2:2" x14ac:dyDescent="0.2">
      <c r="B391" s="80" t="s">
        <v>699</v>
      </c>
    </row>
    <row r="392" spans="2:2" x14ac:dyDescent="0.2">
      <c r="B392" s="80" t="s">
        <v>700</v>
      </c>
    </row>
    <row r="393" spans="2:2" x14ac:dyDescent="0.2">
      <c r="B393" s="80" t="s">
        <v>701</v>
      </c>
    </row>
    <row r="394" spans="2:2" x14ac:dyDescent="0.2">
      <c r="B394" t="s">
        <v>267</v>
      </c>
    </row>
    <row r="395" spans="2:2" x14ac:dyDescent="0.2">
      <c r="B395" s="80" t="s">
        <v>717</v>
      </c>
    </row>
    <row r="396" spans="2:2" x14ac:dyDescent="0.2">
      <c r="B396" t="s">
        <v>268</v>
      </c>
    </row>
    <row r="397" spans="2:2" x14ac:dyDescent="0.2">
      <c r="B397" t="s">
        <v>269</v>
      </c>
    </row>
    <row r="400" spans="2:2" x14ac:dyDescent="0.2">
      <c r="B400" s="80" t="s">
        <v>702</v>
      </c>
    </row>
    <row r="401" spans="2:2" x14ac:dyDescent="0.2">
      <c r="B401" s="80" t="s">
        <v>703</v>
      </c>
    </row>
    <row r="402" spans="2:2" x14ac:dyDescent="0.2">
      <c r="B402" t="s">
        <v>704</v>
      </c>
    </row>
    <row r="403" spans="2:2" x14ac:dyDescent="0.2">
      <c r="B403" s="80" t="s">
        <v>705</v>
      </c>
    </row>
    <row r="404" spans="2:2" x14ac:dyDescent="0.2">
      <c r="B404" t="s">
        <v>706</v>
      </c>
    </row>
    <row r="405" spans="2:2" x14ac:dyDescent="0.2">
      <c r="B405" t="s">
        <v>707</v>
      </c>
    </row>
    <row r="406" spans="2:2" x14ac:dyDescent="0.2">
      <c r="B406" t="s">
        <v>714</v>
      </c>
    </row>
    <row r="407" spans="2:2" x14ac:dyDescent="0.2">
      <c r="B407" s="80" t="s">
        <v>715</v>
      </c>
    </row>
    <row r="408" spans="2:2" x14ac:dyDescent="0.2">
      <c r="B408" s="80" t="s">
        <v>708</v>
      </c>
    </row>
    <row r="409" spans="2:2" x14ac:dyDescent="0.2">
      <c r="B409" s="80" t="s">
        <v>709</v>
      </c>
    </row>
    <row r="410" spans="2:2" x14ac:dyDescent="0.2">
      <c r="B410" s="80" t="s">
        <v>710</v>
      </c>
    </row>
    <row r="411" spans="2:2" x14ac:dyDescent="0.2">
      <c r="B411" s="80" t="s">
        <v>720</v>
      </c>
    </row>
    <row r="412" spans="2:2" x14ac:dyDescent="0.2">
      <c r="B412" s="80" t="s">
        <v>718</v>
      </c>
    </row>
    <row r="413" spans="2:2" x14ac:dyDescent="0.2">
      <c r="B413" t="s">
        <v>295</v>
      </c>
    </row>
    <row r="414" spans="2:2" x14ac:dyDescent="0.2">
      <c r="B414" t="s">
        <v>270</v>
      </c>
    </row>
    <row r="415" spans="2:2" x14ac:dyDescent="0.2">
      <c r="B415" t="s">
        <v>271</v>
      </c>
    </row>
    <row r="416" spans="2:2" x14ac:dyDescent="0.2">
      <c r="B416" s="80"/>
    </row>
    <row r="417" spans="2:2" x14ac:dyDescent="0.2">
      <c r="B417" s="80"/>
    </row>
    <row r="418" spans="2:2" x14ac:dyDescent="0.2">
      <c r="B418" s="80"/>
    </row>
    <row r="419" spans="2:2" x14ac:dyDescent="0.2">
      <c r="B419" s="80"/>
    </row>
    <row r="420" spans="2:2" x14ac:dyDescent="0.2">
      <c r="B420" s="80"/>
    </row>
    <row r="421" spans="2:2" x14ac:dyDescent="0.2">
      <c r="B421" s="80"/>
    </row>
    <row r="422" spans="2:2" x14ac:dyDescent="0.2">
      <c r="B422" s="80"/>
    </row>
    <row r="423" spans="2:2" x14ac:dyDescent="0.2">
      <c r="B423" s="80"/>
    </row>
    <row r="424" spans="2:2" x14ac:dyDescent="0.2">
      <c r="B424" s="80"/>
    </row>
    <row r="426" spans="2:2" x14ac:dyDescent="0.2">
      <c r="B426" s="80"/>
    </row>
    <row r="436" spans="2:2" x14ac:dyDescent="0.2">
      <c r="B436" s="80"/>
    </row>
    <row r="437" spans="2:2" x14ac:dyDescent="0.2">
      <c r="B437" s="80"/>
    </row>
    <row r="439" spans="2:2" x14ac:dyDescent="0.2">
      <c r="B439" s="80"/>
    </row>
    <row r="443" spans="2:2" x14ac:dyDescent="0.2">
      <c r="B443" s="80"/>
    </row>
    <row r="444" spans="2:2" x14ac:dyDescent="0.2">
      <c r="B444" s="80"/>
    </row>
    <row r="445" spans="2:2" x14ac:dyDescent="0.2">
      <c r="B445" s="80"/>
    </row>
    <row r="446" spans="2:2" x14ac:dyDescent="0.2">
      <c r="B446" s="80"/>
    </row>
    <row r="448" spans="2:2" x14ac:dyDescent="0.2">
      <c r="B448" s="80"/>
    </row>
    <row r="453" spans="2:2" x14ac:dyDescent="0.2">
      <c r="B453" s="80"/>
    </row>
    <row r="454" spans="2:2" x14ac:dyDescent="0.2">
      <c r="B454" s="80"/>
    </row>
    <row r="456" spans="2:2" x14ac:dyDescent="0.2">
      <c r="B456" s="80"/>
    </row>
    <row r="460" spans="2:2" x14ac:dyDescent="0.2">
      <c r="B460" s="80"/>
    </row>
    <row r="461" spans="2:2" x14ac:dyDescent="0.2">
      <c r="B461" s="80"/>
    </row>
    <row r="462" spans="2:2" x14ac:dyDescent="0.2">
      <c r="B462" s="80"/>
    </row>
    <row r="463" spans="2:2" x14ac:dyDescent="0.2">
      <c r="B463" s="80"/>
    </row>
    <row r="464" spans="2:2" x14ac:dyDescent="0.2">
      <c r="B464" s="80"/>
    </row>
    <row r="465" spans="1:2" x14ac:dyDescent="0.2">
      <c r="B465" s="80"/>
    </row>
    <row r="470" spans="1:2" x14ac:dyDescent="0.2">
      <c r="A470" s="7"/>
      <c r="B470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A1:D467"/>
  <sheetViews>
    <sheetView zoomScale="80" zoomScaleNormal="80" zoomScaleSheetLayoutView="100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31.85546875" style="244" bestFit="1" customWidth="1"/>
    <col min="2" max="2" width="120.42578125" style="244" customWidth="1"/>
    <col min="3" max="3" width="17" style="244" bestFit="1" customWidth="1"/>
    <col min="4" max="4" width="14.5703125" style="244" bestFit="1" customWidth="1"/>
    <col min="5" max="5" width="12" style="244" bestFit="1" customWidth="1"/>
    <col min="6" max="6" width="11.5703125" style="244" bestFit="1" customWidth="1"/>
    <col min="7" max="7" width="23.5703125" style="244" bestFit="1" customWidth="1"/>
    <col min="8" max="8" width="12.85546875" style="244" bestFit="1" customWidth="1"/>
    <col min="9" max="16384" width="9.140625" style="244"/>
  </cols>
  <sheetData>
    <row r="1" spans="1:4" ht="15.75" x14ac:dyDescent="0.2">
      <c r="A1" s="246" t="s">
        <v>1299</v>
      </c>
      <c r="B1" s="246" t="s">
        <v>1300</v>
      </c>
      <c r="C1" s="245" t="s">
        <v>1609</v>
      </c>
      <c r="D1" s="248">
        <v>41922</v>
      </c>
    </row>
    <row r="2" spans="1:4" s="247" customFormat="1" x14ac:dyDescent="0.2">
      <c r="A2" s="240" t="s">
        <v>976</v>
      </c>
      <c r="B2" s="239" t="s">
        <v>1301</v>
      </c>
    </row>
    <row r="3" spans="1:4" s="247" customFormat="1" x14ac:dyDescent="0.2">
      <c r="A3" s="240" t="s">
        <v>978</v>
      </c>
      <c r="B3" s="239" t="s">
        <v>1302</v>
      </c>
    </row>
    <row r="4" spans="1:4" s="247" customFormat="1" x14ac:dyDescent="0.2">
      <c r="A4" s="240" t="s">
        <v>979</v>
      </c>
      <c r="B4" s="239" t="s">
        <v>1303</v>
      </c>
    </row>
    <row r="5" spans="1:4" s="247" customFormat="1" x14ac:dyDescent="0.2">
      <c r="A5" s="240" t="s">
        <v>980</v>
      </c>
      <c r="B5" s="239" t="s">
        <v>1304</v>
      </c>
    </row>
    <row r="6" spans="1:4" s="247" customFormat="1" x14ac:dyDescent="0.2">
      <c r="A6" s="240" t="s">
        <v>981</v>
      </c>
      <c r="B6" s="239" t="s">
        <v>1305</v>
      </c>
    </row>
    <row r="7" spans="1:4" s="247" customFormat="1" x14ac:dyDescent="0.2">
      <c r="A7" s="240" t="s">
        <v>983</v>
      </c>
      <c r="B7" s="239" t="s">
        <v>1306</v>
      </c>
    </row>
    <row r="8" spans="1:4" s="247" customFormat="1" x14ac:dyDescent="0.2">
      <c r="A8" s="240" t="s">
        <v>984</v>
      </c>
      <c r="B8" s="239" t="s">
        <v>1307</v>
      </c>
    </row>
    <row r="9" spans="1:4" s="247" customFormat="1" x14ac:dyDescent="0.2">
      <c r="A9" s="240" t="s">
        <v>986</v>
      </c>
      <c r="B9" s="239" t="s">
        <v>1308</v>
      </c>
    </row>
    <row r="10" spans="1:4" s="247" customFormat="1" x14ac:dyDescent="0.2">
      <c r="A10" s="240" t="s">
        <v>987</v>
      </c>
      <c r="B10" s="239" t="s">
        <v>1309</v>
      </c>
    </row>
    <row r="11" spans="1:4" s="247" customFormat="1" x14ac:dyDescent="0.2">
      <c r="A11" s="240" t="s">
        <v>988</v>
      </c>
      <c r="B11" s="239" t="s">
        <v>1310</v>
      </c>
    </row>
    <row r="12" spans="1:4" s="247" customFormat="1" x14ac:dyDescent="0.2">
      <c r="A12" s="240" t="s">
        <v>989</v>
      </c>
      <c r="B12" s="239" t="s">
        <v>1311</v>
      </c>
    </row>
    <row r="13" spans="1:4" s="247" customFormat="1" x14ac:dyDescent="0.2">
      <c r="A13" s="240" t="s">
        <v>990</v>
      </c>
      <c r="B13" s="239" t="s">
        <v>1312</v>
      </c>
    </row>
    <row r="14" spans="1:4" s="247" customFormat="1" x14ac:dyDescent="0.2">
      <c r="A14" s="240" t="s">
        <v>991</v>
      </c>
      <c r="B14" s="239" t="s">
        <v>1313</v>
      </c>
    </row>
    <row r="15" spans="1:4" s="247" customFormat="1" x14ac:dyDescent="0.2">
      <c r="A15" s="240" t="s">
        <v>992</v>
      </c>
      <c r="B15" s="239" t="s">
        <v>1314</v>
      </c>
    </row>
    <row r="16" spans="1:4" s="247" customFormat="1" x14ac:dyDescent="0.2">
      <c r="A16" s="240" t="s">
        <v>993</v>
      </c>
      <c r="B16" s="239" t="s">
        <v>1315</v>
      </c>
    </row>
    <row r="17" spans="1:2" s="247" customFormat="1" x14ac:dyDescent="0.2">
      <c r="A17" s="240" t="s">
        <v>994</v>
      </c>
      <c r="B17" s="239" t="s">
        <v>1316</v>
      </c>
    </row>
    <row r="18" spans="1:2" s="247" customFormat="1" x14ac:dyDescent="0.2">
      <c r="A18" s="240" t="s">
        <v>995</v>
      </c>
      <c r="B18" s="239" t="s">
        <v>1317</v>
      </c>
    </row>
    <row r="19" spans="1:2" s="247" customFormat="1" x14ac:dyDescent="0.2">
      <c r="A19" s="240" t="s">
        <v>996</v>
      </c>
      <c r="B19" s="239" t="s">
        <v>1318</v>
      </c>
    </row>
    <row r="20" spans="1:2" s="247" customFormat="1" x14ac:dyDescent="0.2">
      <c r="A20" s="240" t="s">
        <v>997</v>
      </c>
      <c r="B20" s="239" t="s">
        <v>1319</v>
      </c>
    </row>
    <row r="21" spans="1:2" s="247" customFormat="1" x14ac:dyDescent="0.2">
      <c r="A21" s="240" t="s">
        <v>998</v>
      </c>
      <c r="B21" s="239" t="s">
        <v>1320</v>
      </c>
    </row>
    <row r="22" spans="1:2" s="247" customFormat="1" x14ac:dyDescent="0.2">
      <c r="A22" s="240" t="s">
        <v>999</v>
      </c>
      <c r="B22" s="239" t="s">
        <v>1321</v>
      </c>
    </row>
    <row r="23" spans="1:2" s="247" customFormat="1" x14ac:dyDescent="0.2">
      <c r="A23" s="240" t="s">
        <v>1000</v>
      </c>
      <c r="B23" s="239" t="s">
        <v>1322</v>
      </c>
    </row>
    <row r="24" spans="1:2" s="247" customFormat="1" x14ac:dyDescent="0.2">
      <c r="A24" s="240" t="s">
        <v>1001</v>
      </c>
      <c r="B24" s="239" t="s">
        <v>1323</v>
      </c>
    </row>
    <row r="25" spans="1:2" s="247" customFormat="1" x14ac:dyDescent="0.2">
      <c r="A25" s="240" t="s">
        <v>1002</v>
      </c>
      <c r="B25" s="239" t="s">
        <v>1324</v>
      </c>
    </row>
    <row r="26" spans="1:2" s="247" customFormat="1" x14ac:dyDescent="0.2">
      <c r="A26" s="241" t="s">
        <v>1003</v>
      </c>
      <c r="B26" s="239" t="s">
        <v>1325</v>
      </c>
    </row>
    <row r="27" spans="1:2" s="247" customFormat="1" x14ac:dyDescent="0.2">
      <c r="A27" s="241" t="s">
        <v>1004</v>
      </c>
      <c r="B27" s="239" t="s">
        <v>1326</v>
      </c>
    </row>
    <row r="28" spans="1:2" s="247" customFormat="1" x14ac:dyDescent="0.2">
      <c r="A28" s="241" t="s">
        <v>1005</v>
      </c>
      <c r="B28" s="239" t="s">
        <v>1327</v>
      </c>
    </row>
    <row r="29" spans="1:2" s="247" customFormat="1" x14ac:dyDescent="0.2">
      <c r="A29" s="241" t="s">
        <v>1006</v>
      </c>
      <c r="B29" s="239" t="s">
        <v>1328</v>
      </c>
    </row>
    <row r="30" spans="1:2" s="247" customFormat="1" x14ac:dyDescent="0.2">
      <c r="A30" s="241" t="s">
        <v>1007</v>
      </c>
      <c r="B30" s="239" t="s">
        <v>1329</v>
      </c>
    </row>
    <row r="31" spans="1:2" s="247" customFormat="1" x14ac:dyDescent="0.2">
      <c r="A31" s="241" t="s">
        <v>1008</v>
      </c>
      <c r="B31" s="239" t="s">
        <v>1330</v>
      </c>
    </row>
    <row r="32" spans="1:2" s="247" customFormat="1" x14ac:dyDescent="0.2">
      <c r="A32" s="241" t="s">
        <v>1009</v>
      </c>
      <c r="B32" s="239" t="s">
        <v>1331</v>
      </c>
    </row>
    <row r="33" spans="1:2" s="247" customFormat="1" x14ac:dyDescent="0.2">
      <c r="A33" s="241" t="s">
        <v>1010</v>
      </c>
      <c r="B33" s="239" t="s">
        <v>1332</v>
      </c>
    </row>
    <row r="34" spans="1:2" s="247" customFormat="1" x14ac:dyDescent="0.2">
      <c r="A34" s="241" t="s">
        <v>1011</v>
      </c>
      <c r="B34" s="239" t="s">
        <v>1333</v>
      </c>
    </row>
    <row r="35" spans="1:2" s="247" customFormat="1" x14ac:dyDescent="0.2">
      <c r="A35" s="241" t="s">
        <v>1012</v>
      </c>
      <c r="B35" s="239" t="s">
        <v>1334</v>
      </c>
    </row>
    <row r="36" spans="1:2" s="247" customFormat="1" x14ac:dyDescent="0.2">
      <c r="A36" s="241" t="s">
        <v>1015</v>
      </c>
      <c r="B36" s="239" t="s">
        <v>1335</v>
      </c>
    </row>
    <row r="37" spans="1:2" s="247" customFormat="1" x14ac:dyDescent="0.2">
      <c r="A37" s="241" t="s">
        <v>1016</v>
      </c>
      <c r="B37" s="239" t="s">
        <v>1336</v>
      </c>
    </row>
    <row r="38" spans="1:2" s="247" customFormat="1" x14ac:dyDescent="0.2">
      <c r="A38" s="241" t="s">
        <v>1017</v>
      </c>
      <c r="B38" s="239" t="s">
        <v>1337</v>
      </c>
    </row>
    <row r="39" spans="1:2" s="247" customFormat="1" x14ac:dyDescent="0.2">
      <c r="A39" s="241" t="s">
        <v>1018</v>
      </c>
      <c r="B39" s="239" t="s">
        <v>1338</v>
      </c>
    </row>
    <row r="40" spans="1:2" s="247" customFormat="1" x14ac:dyDescent="0.2">
      <c r="A40" s="241" t="s">
        <v>1019</v>
      </c>
      <c r="B40" s="239" t="s">
        <v>1339</v>
      </c>
    </row>
    <row r="41" spans="1:2" s="247" customFormat="1" x14ac:dyDescent="0.2">
      <c r="A41" s="241" t="s">
        <v>1013</v>
      </c>
      <c r="B41" s="239" t="s">
        <v>1340</v>
      </c>
    </row>
    <row r="42" spans="1:2" s="247" customFormat="1" x14ac:dyDescent="0.2">
      <c r="A42" s="241" t="s">
        <v>1014</v>
      </c>
      <c r="B42" s="239" t="s">
        <v>1341</v>
      </c>
    </row>
    <row r="43" spans="1:2" s="247" customFormat="1" x14ac:dyDescent="0.2">
      <c r="A43" s="241" t="s">
        <v>1736</v>
      </c>
      <c r="B43" s="239" t="s">
        <v>1750</v>
      </c>
    </row>
    <row r="44" spans="1:2" s="247" customFormat="1" x14ac:dyDescent="0.2">
      <c r="A44" s="241" t="s">
        <v>1737</v>
      </c>
      <c r="B44" s="239" t="s">
        <v>1748</v>
      </c>
    </row>
    <row r="45" spans="1:2" s="247" customFormat="1" x14ac:dyDescent="0.2">
      <c r="A45" s="241" t="s">
        <v>1738</v>
      </c>
      <c r="B45" s="239" t="s">
        <v>1749</v>
      </c>
    </row>
    <row r="46" spans="1:2" s="247" customFormat="1" x14ac:dyDescent="0.2">
      <c r="A46" s="241" t="s">
        <v>1020</v>
      </c>
      <c r="B46" s="241" t="s">
        <v>1342</v>
      </c>
    </row>
    <row r="47" spans="1:2" s="247" customFormat="1" x14ac:dyDescent="0.2">
      <c r="A47" s="241" t="s">
        <v>1021</v>
      </c>
      <c r="B47" s="241" t="s">
        <v>1343</v>
      </c>
    </row>
    <row r="48" spans="1:2" s="247" customFormat="1" x14ac:dyDescent="0.2">
      <c r="A48" s="241" t="s">
        <v>1022</v>
      </c>
      <c r="B48" s="241" t="s">
        <v>1344</v>
      </c>
    </row>
    <row r="49" spans="1:2" s="247" customFormat="1" x14ac:dyDescent="0.2">
      <c r="A49" s="241" t="s">
        <v>1023</v>
      </c>
      <c r="B49" s="241" t="s">
        <v>1345</v>
      </c>
    </row>
    <row r="50" spans="1:2" s="247" customFormat="1" x14ac:dyDescent="0.2">
      <c r="A50" s="241" t="s">
        <v>1024</v>
      </c>
      <c r="B50" s="241" t="s">
        <v>1346</v>
      </c>
    </row>
    <row r="51" spans="1:2" s="247" customFormat="1" x14ac:dyDescent="0.2">
      <c r="A51" s="241" t="s">
        <v>1025</v>
      </c>
      <c r="B51" s="241" t="s">
        <v>1347</v>
      </c>
    </row>
    <row r="52" spans="1:2" s="247" customFormat="1" x14ac:dyDescent="0.2">
      <c r="A52" s="241" t="s">
        <v>1026</v>
      </c>
      <c r="B52" s="241" t="s">
        <v>1348</v>
      </c>
    </row>
    <row r="53" spans="1:2" s="247" customFormat="1" x14ac:dyDescent="0.2">
      <c r="A53" s="241" t="s">
        <v>1027</v>
      </c>
      <c r="B53" s="241" t="s">
        <v>1349</v>
      </c>
    </row>
    <row r="54" spans="1:2" s="247" customFormat="1" x14ac:dyDescent="0.2">
      <c r="A54" s="241" t="s">
        <v>1028</v>
      </c>
      <c r="B54" s="241" t="s">
        <v>1350</v>
      </c>
    </row>
    <row r="55" spans="1:2" s="247" customFormat="1" x14ac:dyDescent="0.2">
      <c r="A55" s="241" t="s">
        <v>1029</v>
      </c>
      <c r="B55" s="241" t="s">
        <v>1351</v>
      </c>
    </row>
    <row r="56" spans="1:2" s="247" customFormat="1" x14ac:dyDescent="0.2">
      <c r="A56" s="241" t="s">
        <v>1030</v>
      </c>
      <c r="B56" s="241" t="s">
        <v>1352</v>
      </c>
    </row>
    <row r="57" spans="1:2" s="247" customFormat="1" x14ac:dyDescent="0.2">
      <c r="A57" s="241" t="s">
        <v>1031</v>
      </c>
      <c r="B57" s="241" t="s">
        <v>1353</v>
      </c>
    </row>
    <row r="58" spans="1:2" s="247" customFormat="1" x14ac:dyDescent="0.2">
      <c r="A58" s="241" t="s">
        <v>1032</v>
      </c>
      <c r="B58" s="241" t="s">
        <v>1354</v>
      </c>
    </row>
    <row r="59" spans="1:2" s="247" customFormat="1" x14ac:dyDescent="0.2">
      <c r="A59" s="241" t="s">
        <v>1033</v>
      </c>
      <c r="B59" s="241" t="s">
        <v>1355</v>
      </c>
    </row>
    <row r="60" spans="1:2" s="247" customFormat="1" x14ac:dyDescent="0.2">
      <c r="A60" s="241" t="s">
        <v>1034</v>
      </c>
      <c r="B60" s="241" t="s">
        <v>1356</v>
      </c>
    </row>
    <row r="61" spans="1:2" s="247" customFormat="1" x14ac:dyDescent="0.2">
      <c r="A61" s="241" t="s">
        <v>1035</v>
      </c>
      <c r="B61" s="241" t="s">
        <v>1357</v>
      </c>
    </row>
    <row r="62" spans="1:2" s="247" customFormat="1" x14ac:dyDescent="0.2">
      <c r="A62" s="241" t="s">
        <v>1036</v>
      </c>
      <c r="B62" s="241" t="s">
        <v>1358</v>
      </c>
    </row>
    <row r="63" spans="1:2" s="247" customFormat="1" x14ac:dyDescent="0.2">
      <c r="A63" s="241" t="s">
        <v>1037</v>
      </c>
      <c r="B63" s="241" t="s">
        <v>1359</v>
      </c>
    </row>
    <row r="64" spans="1:2" s="247" customFormat="1" x14ac:dyDescent="0.2">
      <c r="A64" s="241" t="s">
        <v>1038</v>
      </c>
      <c r="B64" s="241" t="s">
        <v>1360</v>
      </c>
    </row>
    <row r="65" spans="1:2" s="247" customFormat="1" x14ac:dyDescent="0.2">
      <c r="A65" s="241" t="s">
        <v>1039</v>
      </c>
      <c r="B65" s="241" t="s">
        <v>1361</v>
      </c>
    </row>
    <row r="66" spans="1:2" s="247" customFormat="1" x14ac:dyDescent="0.2">
      <c r="A66" s="241" t="s">
        <v>1040</v>
      </c>
      <c r="B66" s="241" t="s">
        <v>1362</v>
      </c>
    </row>
    <row r="67" spans="1:2" s="247" customFormat="1" x14ac:dyDescent="0.2">
      <c r="A67" s="241" t="s">
        <v>1041</v>
      </c>
      <c r="B67" s="241" t="s">
        <v>1363</v>
      </c>
    </row>
    <row r="68" spans="1:2" s="247" customFormat="1" x14ac:dyDescent="0.2">
      <c r="A68" s="241" t="s">
        <v>1042</v>
      </c>
      <c r="B68" s="241" t="s">
        <v>1364</v>
      </c>
    </row>
    <row r="69" spans="1:2" s="247" customFormat="1" x14ac:dyDescent="0.2">
      <c r="A69" s="241" t="s">
        <v>1043</v>
      </c>
      <c r="B69" s="241" t="s">
        <v>1365</v>
      </c>
    </row>
    <row r="70" spans="1:2" s="247" customFormat="1" x14ac:dyDescent="0.2">
      <c r="A70" s="241" t="s">
        <v>1044</v>
      </c>
      <c r="B70" s="241" t="s">
        <v>1366</v>
      </c>
    </row>
    <row r="71" spans="1:2" s="247" customFormat="1" x14ac:dyDescent="0.2">
      <c r="A71" s="241" t="s">
        <v>1045</v>
      </c>
      <c r="B71" s="241" t="s">
        <v>1367</v>
      </c>
    </row>
    <row r="72" spans="1:2" s="247" customFormat="1" x14ac:dyDescent="0.2">
      <c r="A72" s="241" t="s">
        <v>1046</v>
      </c>
      <c r="B72" s="241" t="s">
        <v>1368</v>
      </c>
    </row>
    <row r="73" spans="1:2" s="247" customFormat="1" x14ac:dyDescent="0.2">
      <c r="A73" s="241" t="s">
        <v>1047</v>
      </c>
      <c r="B73" s="241" t="s">
        <v>1369</v>
      </c>
    </row>
    <row r="74" spans="1:2" s="247" customFormat="1" x14ac:dyDescent="0.2">
      <c r="A74" s="241" t="s">
        <v>1048</v>
      </c>
      <c r="B74" s="241" t="s">
        <v>1370</v>
      </c>
    </row>
    <row r="75" spans="1:2" s="247" customFormat="1" x14ac:dyDescent="0.2">
      <c r="A75" s="241" t="s">
        <v>1049</v>
      </c>
      <c r="B75" s="241" t="s">
        <v>1371</v>
      </c>
    </row>
    <row r="76" spans="1:2" s="247" customFormat="1" x14ac:dyDescent="0.2">
      <c r="A76" s="241" t="s">
        <v>1050</v>
      </c>
      <c r="B76" s="241" t="s">
        <v>1372</v>
      </c>
    </row>
    <row r="77" spans="1:2" s="247" customFormat="1" x14ac:dyDescent="0.2">
      <c r="A77" s="241" t="s">
        <v>1051</v>
      </c>
      <c r="B77" s="241" t="s">
        <v>1373</v>
      </c>
    </row>
    <row r="78" spans="1:2" s="247" customFormat="1" x14ac:dyDescent="0.2">
      <c r="A78" s="241" t="s">
        <v>1055</v>
      </c>
      <c r="B78" s="241" t="s">
        <v>1374</v>
      </c>
    </row>
    <row r="79" spans="1:2" s="247" customFormat="1" x14ac:dyDescent="0.2">
      <c r="A79" s="241" t="s">
        <v>1056</v>
      </c>
      <c r="B79" s="241" t="s">
        <v>1375</v>
      </c>
    </row>
    <row r="80" spans="1:2" s="247" customFormat="1" x14ac:dyDescent="0.2">
      <c r="A80" s="241" t="s">
        <v>1057</v>
      </c>
      <c r="B80" s="241" t="s">
        <v>1376</v>
      </c>
    </row>
    <row r="81" spans="1:2" s="247" customFormat="1" x14ac:dyDescent="0.2">
      <c r="A81" s="241" t="s">
        <v>1058</v>
      </c>
      <c r="B81" s="241" t="s">
        <v>1377</v>
      </c>
    </row>
    <row r="82" spans="1:2" s="247" customFormat="1" x14ac:dyDescent="0.2">
      <c r="A82" s="241" t="s">
        <v>1059</v>
      </c>
      <c r="B82" s="241" t="s">
        <v>1378</v>
      </c>
    </row>
    <row r="83" spans="1:2" s="247" customFormat="1" x14ac:dyDescent="0.2">
      <c r="A83" s="241" t="s">
        <v>1060</v>
      </c>
      <c r="B83" s="241" t="s">
        <v>1379</v>
      </c>
    </row>
    <row r="84" spans="1:2" s="247" customFormat="1" x14ac:dyDescent="0.2">
      <c r="A84" s="241" t="s">
        <v>1061</v>
      </c>
      <c r="B84" s="241" t="s">
        <v>1380</v>
      </c>
    </row>
    <row r="85" spans="1:2" s="247" customFormat="1" x14ac:dyDescent="0.2">
      <c r="A85" s="241" t="s">
        <v>1062</v>
      </c>
      <c r="B85" s="241" t="s">
        <v>1381</v>
      </c>
    </row>
    <row r="86" spans="1:2" s="247" customFormat="1" x14ac:dyDescent="0.2">
      <c r="A86" s="241" t="s">
        <v>1063</v>
      </c>
      <c r="B86" s="241" t="s">
        <v>1382</v>
      </c>
    </row>
    <row r="87" spans="1:2" s="247" customFormat="1" x14ac:dyDescent="0.2">
      <c r="A87" s="241" t="s">
        <v>1064</v>
      </c>
      <c r="B87" s="241" t="s">
        <v>1383</v>
      </c>
    </row>
    <row r="88" spans="1:2" s="247" customFormat="1" x14ac:dyDescent="0.2">
      <c r="A88" s="241" t="s">
        <v>1065</v>
      </c>
      <c r="B88" s="241" t="s">
        <v>1384</v>
      </c>
    </row>
    <row r="89" spans="1:2" s="247" customFormat="1" x14ac:dyDescent="0.2">
      <c r="A89" s="241" t="s">
        <v>1066</v>
      </c>
      <c r="B89" s="241" t="s">
        <v>1385</v>
      </c>
    </row>
    <row r="90" spans="1:2" s="247" customFormat="1" x14ac:dyDescent="0.2">
      <c r="A90" s="241" t="s">
        <v>1067</v>
      </c>
      <c r="B90" s="241" t="s">
        <v>1386</v>
      </c>
    </row>
    <row r="91" spans="1:2" s="247" customFormat="1" x14ac:dyDescent="0.2">
      <c r="A91" s="241" t="s">
        <v>1068</v>
      </c>
      <c r="B91" s="241" t="s">
        <v>1387</v>
      </c>
    </row>
    <row r="92" spans="1:2" s="247" customFormat="1" x14ac:dyDescent="0.2">
      <c r="A92" s="241" t="s">
        <v>1069</v>
      </c>
      <c r="B92" s="241" t="s">
        <v>1388</v>
      </c>
    </row>
    <row r="93" spans="1:2" s="247" customFormat="1" x14ac:dyDescent="0.2">
      <c r="A93" s="241" t="s">
        <v>1052</v>
      </c>
      <c r="B93" s="239" t="s">
        <v>1389</v>
      </c>
    </row>
    <row r="94" spans="1:2" s="247" customFormat="1" x14ac:dyDescent="0.2">
      <c r="A94" s="241" t="s">
        <v>1053</v>
      </c>
      <c r="B94" s="239" t="s">
        <v>1390</v>
      </c>
    </row>
    <row r="95" spans="1:2" s="247" customFormat="1" x14ac:dyDescent="0.2">
      <c r="A95" s="241" t="s">
        <v>1054</v>
      </c>
      <c r="B95" s="239" t="s">
        <v>1391</v>
      </c>
    </row>
    <row r="96" spans="1:2" s="247" customFormat="1" x14ac:dyDescent="0.2">
      <c r="A96" s="241" t="s">
        <v>1739</v>
      </c>
      <c r="B96" s="239" t="s">
        <v>1751</v>
      </c>
    </row>
    <row r="97" spans="1:2" s="247" customFormat="1" x14ac:dyDescent="0.2">
      <c r="A97" s="241" t="s">
        <v>1740</v>
      </c>
      <c r="B97" s="239" t="s">
        <v>1752</v>
      </c>
    </row>
    <row r="98" spans="1:2" s="247" customFormat="1" x14ac:dyDescent="0.2">
      <c r="A98" s="241" t="s">
        <v>1741</v>
      </c>
      <c r="B98" s="239" t="s">
        <v>1753</v>
      </c>
    </row>
    <row r="99" spans="1:2" s="247" customFormat="1" x14ac:dyDescent="0.2">
      <c r="A99" s="241" t="s">
        <v>963</v>
      </c>
      <c r="B99" s="239" t="s">
        <v>1392</v>
      </c>
    </row>
    <row r="100" spans="1:2" s="247" customFormat="1" x14ac:dyDescent="0.2">
      <c r="A100" s="241" t="s">
        <v>964</v>
      </c>
      <c r="B100" s="239" t="s">
        <v>1393</v>
      </c>
    </row>
    <row r="101" spans="1:2" s="247" customFormat="1" x14ac:dyDescent="0.2">
      <c r="A101" s="241" t="s">
        <v>965</v>
      </c>
      <c r="B101" s="239" t="s">
        <v>1394</v>
      </c>
    </row>
    <row r="102" spans="1:2" s="247" customFormat="1" x14ac:dyDescent="0.2">
      <c r="A102" s="240" t="s">
        <v>966</v>
      </c>
      <c r="B102" s="239" t="s">
        <v>1395</v>
      </c>
    </row>
    <row r="103" spans="1:2" s="247" customFormat="1" x14ac:dyDescent="0.2">
      <c r="A103" s="240" t="s">
        <v>967</v>
      </c>
      <c r="B103" s="239" t="s">
        <v>1396</v>
      </c>
    </row>
    <row r="104" spans="1:2" s="247" customFormat="1" x14ac:dyDescent="0.2">
      <c r="A104" s="240" t="s">
        <v>968</v>
      </c>
      <c r="B104" s="239" t="s">
        <v>1397</v>
      </c>
    </row>
    <row r="105" spans="1:2" s="247" customFormat="1" x14ac:dyDescent="0.2">
      <c r="A105" s="240" t="s">
        <v>969</v>
      </c>
      <c r="B105" s="239" t="s">
        <v>1398</v>
      </c>
    </row>
    <row r="106" spans="1:2" s="247" customFormat="1" x14ac:dyDescent="0.2">
      <c r="A106" s="240" t="s">
        <v>1735</v>
      </c>
      <c r="B106" s="239" t="s">
        <v>1754</v>
      </c>
    </row>
    <row r="107" spans="1:2" s="247" customFormat="1" x14ac:dyDescent="0.2">
      <c r="A107" s="240" t="s">
        <v>970</v>
      </c>
      <c r="B107" s="239" t="s">
        <v>1399</v>
      </c>
    </row>
    <row r="108" spans="1:2" s="247" customFormat="1" x14ac:dyDescent="0.2">
      <c r="A108" s="240" t="s">
        <v>971</v>
      </c>
      <c r="B108" s="239" t="s">
        <v>1400</v>
      </c>
    </row>
    <row r="109" spans="1:2" s="247" customFormat="1" x14ac:dyDescent="0.2">
      <c r="A109" s="240" t="s">
        <v>972</v>
      </c>
      <c r="B109" s="239" t="s">
        <v>1401</v>
      </c>
    </row>
    <row r="110" spans="1:2" s="247" customFormat="1" x14ac:dyDescent="0.2">
      <c r="A110" s="240" t="s">
        <v>973</v>
      </c>
      <c r="B110" s="239" t="s">
        <v>1402</v>
      </c>
    </row>
    <row r="111" spans="1:2" s="247" customFormat="1" x14ac:dyDescent="0.2">
      <c r="A111" s="240" t="s">
        <v>974</v>
      </c>
      <c r="B111" s="239" t="s">
        <v>1403</v>
      </c>
    </row>
    <row r="112" spans="1:2" s="247" customFormat="1" x14ac:dyDescent="0.2">
      <c r="A112" s="240" t="s">
        <v>975</v>
      </c>
      <c r="B112" s="239" t="s">
        <v>1404</v>
      </c>
    </row>
    <row r="113" spans="1:2" s="247" customFormat="1" x14ac:dyDescent="0.2">
      <c r="A113" s="240" t="s">
        <v>894</v>
      </c>
      <c r="B113" s="239" t="s">
        <v>1405</v>
      </c>
    </row>
    <row r="114" spans="1:2" s="247" customFormat="1" x14ac:dyDescent="0.2">
      <c r="A114" s="240" t="s">
        <v>896</v>
      </c>
      <c r="B114" s="239" t="s">
        <v>1406</v>
      </c>
    </row>
    <row r="115" spans="1:2" s="247" customFormat="1" x14ac:dyDescent="0.2">
      <c r="A115" s="240" t="s">
        <v>897</v>
      </c>
      <c r="B115" s="239" t="s">
        <v>1407</v>
      </c>
    </row>
    <row r="116" spans="1:2" s="247" customFormat="1" x14ac:dyDescent="0.2">
      <c r="A116" s="240" t="s">
        <v>898</v>
      </c>
      <c r="B116" s="239" t="s">
        <v>1408</v>
      </c>
    </row>
    <row r="117" spans="1:2" s="247" customFormat="1" x14ac:dyDescent="0.2">
      <c r="A117" s="240" t="s">
        <v>899</v>
      </c>
      <c r="B117" s="239" t="s">
        <v>1409</v>
      </c>
    </row>
    <row r="118" spans="1:2" s="247" customFormat="1" x14ac:dyDescent="0.2">
      <c r="A118" s="240" t="s">
        <v>900</v>
      </c>
      <c r="B118" s="239" t="s">
        <v>1410</v>
      </c>
    </row>
    <row r="119" spans="1:2" s="247" customFormat="1" x14ac:dyDescent="0.2">
      <c r="A119" s="240" t="s">
        <v>901</v>
      </c>
      <c r="B119" s="239" t="s">
        <v>1411</v>
      </c>
    </row>
    <row r="120" spans="1:2" s="247" customFormat="1" x14ac:dyDescent="0.2">
      <c r="A120" s="240" t="s">
        <v>903</v>
      </c>
      <c r="B120" s="239" t="s">
        <v>1412</v>
      </c>
    </row>
    <row r="121" spans="1:2" s="247" customFormat="1" x14ac:dyDescent="0.2">
      <c r="A121" s="240" t="s">
        <v>905</v>
      </c>
      <c r="B121" s="239" t="s">
        <v>1413</v>
      </c>
    </row>
    <row r="122" spans="1:2" s="247" customFormat="1" x14ac:dyDescent="0.2">
      <c r="A122" s="240" t="s">
        <v>908</v>
      </c>
      <c r="B122" s="239" t="s">
        <v>1416</v>
      </c>
    </row>
    <row r="123" spans="1:2" s="247" customFormat="1" x14ac:dyDescent="0.2">
      <c r="A123" s="240" t="s">
        <v>909</v>
      </c>
      <c r="B123" s="239" t="s">
        <v>1417</v>
      </c>
    </row>
    <row r="124" spans="1:2" s="247" customFormat="1" x14ac:dyDescent="0.2">
      <c r="A124" s="240" t="s">
        <v>910</v>
      </c>
      <c r="B124" s="239" t="s">
        <v>1418</v>
      </c>
    </row>
    <row r="125" spans="1:2" s="247" customFormat="1" x14ac:dyDescent="0.2">
      <c r="A125" s="240" t="s">
        <v>911</v>
      </c>
      <c r="B125" s="239" t="s">
        <v>1419</v>
      </c>
    </row>
    <row r="126" spans="1:2" s="247" customFormat="1" x14ac:dyDescent="0.2">
      <c r="A126" s="240" t="s">
        <v>912</v>
      </c>
      <c r="B126" s="239" t="s">
        <v>1420</v>
      </c>
    </row>
    <row r="127" spans="1:2" s="247" customFormat="1" x14ac:dyDescent="0.2">
      <c r="A127" s="240" t="s">
        <v>913</v>
      </c>
      <c r="B127" s="239" t="s">
        <v>1421</v>
      </c>
    </row>
    <row r="128" spans="1:2" s="247" customFormat="1" x14ac:dyDescent="0.2">
      <c r="A128" s="240" t="s">
        <v>914</v>
      </c>
      <c r="B128" s="239" t="s">
        <v>1422</v>
      </c>
    </row>
    <row r="129" spans="1:2" s="247" customFormat="1" x14ac:dyDescent="0.2">
      <c r="A129" s="240" t="s">
        <v>915</v>
      </c>
      <c r="B129" s="239" t="s">
        <v>1423</v>
      </c>
    </row>
    <row r="130" spans="1:2" s="247" customFormat="1" x14ac:dyDescent="0.2">
      <c r="A130" s="240" t="s">
        <v>916</v>
      </c>
      <c r="B130" s="239" t="s">
        <v>1424</v>
      </c>
    </row>
    <row r="131" spans="1:2" s="247" customFormat="1" x14ac:dyDescent="0.2">
      <c r="A131" s="240" t="s">
        <v>917</v>
      </c>
      <c r="B131" s="239" t="s">
        <v>1425</v>
      </c>
    </row>
    <row r="132" spans="1:2" s="247" customFormat="1" x14ac:dyDescent="0.2">
      <c r="A132" s="240" t="s">
        <v>879</v>
      </c>
      <c r="B132" s="239" t="s">
        <v>1427</v>
      </c>
    </row>
    <row r="133" spans="1:2" s="247" customFormat="1" x14ac:dyDescent="0.2">
      <c r="A133" s="240" t="s">
        <v>882</v>
      </c>
      <c r="B133" s="239" t="s">
        <v>1406</v>
      </c>
    </row>
    <row r="134" spans="1:2" s="247" customFormat="1" x14ac:dyDescent="0.2">
      <c r="A134" s="240" t="s">
        <v>883</v>
      </c>
      <c r="B134" s="239" t="s">
        <v>1407</v>
      </c>
    </row>
    <row r="135" spans="1:2" s="247" customFormat="1" x14ac:dyDescent="0.2">
      <c r="A135" s="240" t="s">
        <v>884</v>
      </c>
      <c r="B135" s="239" t="s">
        <v>1408</v>
      </c>
    </row>
    <row r="136" spans="1:2" s="247" customFormat="1" x14ac:dyDescent="0.2">
      <c r="A136" s="240" t="s">
        <v>885</v>
      </c>
      <c r="B136" s="239" t="s">
        <v>1409</v>
      </c>
    </row>
    <row r="137" spans="1:2" s="247" customFormat="1" x14ac:dyDescent="0.2">
      <c r="A137" s="240" t="s">
        <v>886</v>
      </c>
      <c r="B137" s="239" t="s">
        <v>1410</v>
      </c>
    </row>
    <row r="138" spans="1:2" s="247" customFormat="1" x14ac:dyDescent="0.2">
      <c r="A138" s="240" t="s">
        <v>888</v>
      </c>
      <c r="B138" s="239" t="s">
        <v>1416</v>
      </c>
    </row>
    <row r="139" spans="1:2" s="247" customFormat="1" x14ac:dyDescent="0.2">
      <c r="A139" s="240" t="s">
        <v>889</v>
      </c>
      <c r="B139" s="239" t="s">
        <v>1417</v>
      </c>
    </row>
    <row r="140" spans="1:2" s="247" customFormat="1" x14ac:dyDescent="0.2">
      <c r="A140" s="240" t="s">
        <v>890</v>
      </c>
      <c r="B140" s="239" t="s">
        <v>1418</v>
      </c>
    </row>
    <row r="141" spans="1:2" s="247" customFormat="1" x14ac:dyDescent="0.2">
      <c r="A141" s="240" t="s">
        <v>891</v>
      </c>
      <c r="B141" s="239" t="s">
        <v>1419</v>
      </c>
    </row>
    <row r="142" spans="1:2" s="247" customFormat="1" x14ac:dyDescent="0.2">
      <c r="A142" s="240" t="s">
        <v>892</v>
      </c>
      <c r="B142" s="239" t="s">
        <v>1420</v>
      </c>
    </row>
    <row r="143" spans="1:2" s="247" customFormat="1" x14ac:dyDescent="0.2">
      <c r="A143" s="240" t="s">
        <v>893</v>
      </c>
      <c r="B143" s="239" t="s">
        <v>1421</v>
      </c>
    </row>
    <row r="144" spans="1:2" s="247" customFormat="1" x14ac:dyDescent="0.2">
      <c r="A144" s="240" t="s">
        <v>943</v>
      </c>
      <c r="B144" s="239" t="s">
        <v>1428</v>
      </c>
    </row>
    <row r="145" spans="1:2" s="247" customFormat="1" x14ac:dyDescent="0.2">
      <c r="A145" s="240" t="s">
        <v>945</v>
      </c>
      <c r="B145" s="239" t="s">
        <v>1429</v>
      </c>
    </row>
    <row r="146" spans="1:2" s="247" customFormat="1" x14ac:dyDescent="0.2">
      <c r="A146" s="240" t="s">
        <v>946</v>
      </c>
      <c r="B146" s="239" t="s">
        <v>1430</v>
      </c>
    </row>
    <row r="147" spans="1:2" s="247" customFormat="1" x14ac:dyDescent="0.2">
      <c r="A147" s="240" t="s">
        <v>947</v>
      </c>
      <c r="B147" s="239" t="s">
        <v>1410</v>
      </c>
    </row>
    <row r="148" spans="1:2" s="247" customFormat="1" x14ac:dyDescent="0.2">
      <c r="A148" s="240" t="s">
        <v>948</v>
      </c>
      <c r="B148" s="239" t="s">
        <v>1431</v>
      </c>
    </row>
    <row r="149" spans="1:2" s="247" customFormat="1" x14ac:dyDescent="0.2">
      <c r="A149" s="240" t="s">
        <v>949</v>
      </c>
      <c r="B149" s="239" t="s">
        <v>1412</v>
      </c>
    </row>
    <row r="150" spans="1:2" s="247" customFormat="1" x14ac:dyDescent="0.2">
      <c r="A150" s="240" t="s">
        <v>950</v>
      </c>
      <c r="B150" s="239" t="s">
        <v>1413</v>
      </c>
    </row>
    <row r="151" spans="1:2" s="247" customFormat="1" x14ac:dyDescent="0.2">
      <c r="A151" s="240" t="s">
        <v>951</v>
      </c>
      <c r="B151" s="239" t="s">
        <v>1414</v>
      </c>
    </row>
    <row r="152" spans="1:2" s="247" customFormat="1" x14ac:dyDescent="0.2">
      <c r="A152" s="240" t="s">
        <v>952</v>
      </c>
      <c r="B152" s="239" t="s">
        <v>1415</v>
      </c>
    </row>
    <row r="153" spans="1:2" s="247" customFormat="1" x14ac:dyDescent="0.2">
      <c r="A153" s="240" t="s">
        <v>953</v>
      </c>
      <c r="B153" s="239" t="s">
        <v>1432</v>
      </c>
    </row>
    <row r="154" spans="1:2" s="247" customFormat="1" x14ac:dyDescent="0.2">
      <c r="A154" s="240" t="s">
        <v>955</v>
      </c>
      <c r="B154" s="239" t="s">
        <v>1433</v>
      </c>
    </row>
    <row r="155" spans="1:2" s="247" customFormat="1" x14ac:dyDescent="0.2">
      <c r="A155" s="240" t="s">
        <v>956</v>
      </c>
      <c r="B155" s="239" t="s">
        <v>1434</v>
      </c>
    </row>
    <row r="156" spans="1:2" s="247" customFormat="1" x14ac:dyDescent="0.2">
      <c r="A156" s="240" t="s">
        <v>957</v>
      </c>
      <c r="B156" s="239" t="s">
        <v>1435</v>
      </c>
    </row>
    <row r="157" spans="1:2" s="247" customFormat="1" x14ac:dyDescent="0.2">
      <c r="A157" s="240" t="s">
        <v>958</v>
      </c>
      <c r="B157" s="239" t="s">
        <v>1436</v>
      </c>
    </row>
    <row r="158" spans="1:2" s="247" customFormat="1" x14ac:dyDescent="0.2">
      <c r="A158" s="240" t="s">
        <v>959</v>
      </c>
      <c r="B158" s="239" t="s">
        <v>1424</v>
      </c>
    </row>
    <row r="159" spans="1:2" s="247" customFormat="1" x14ac:dyDescent="0.2">
      <c r="A159" s="240" t="s">
        <v>960</v>
      </c>
      <c r="B159" s="239" t="s">
        <v>1437</v>
      </c>
    </row>
    <row r="160" spans="1:2" s="247" customFormat="1" x14ac:dyDescent="0.2">
      <c r="A160" s="240" t="s">
        <v>961</v>
      </c>
      <c r="B160" s="239" t="s">
        <v>1426</v>
      </c>
    </row>
    <row r="161" spans="1:2" s="247" customFormat="1" x14ac:dyDescent="0.2">
      <c r="A161" s="240" t="s">
        <v>962</v>
      </c>
      <c r="B161" s="239" t="s">
        <v>1438</v>
      </c>
    </row>
    <row r="162" spans="1:2" s="247" customFormat="1" x14ac:dyDescent="0.2">
      <c r="A162" s="240" t="s">
        <v>919</v>
      </c>
      <c r="B162" s="239" t="s">
        <v>1439</v>
      </c>
    </row>
    <row r="163" spans="1:2" s="247" customFormat="1" x14ac:dyDescent="0.2">
      <c r="A163" s="240" t="s">
        <v>921</v>
      </c>
      <c r="B163" s="239" t="s">
        <v>1440</v>
      </c>
    </row>
    <row r="164" spans="1:2" s="247" customFormat="1" x14ac:dyDescent="0.2">
      <c r="A164" s="240" t="s">
        <v>922</v>
      </c>
      <c r="B164" s="239" t="s">
        <v>1428</v>
      </c>
    </row>
    <row r="165" spans="1:2" s="247" customFormat="1" x14ac:dyDescent="0.2">
      <c r="A165" s="240" t="s">
        <v>923</v>
      </c>
      <c r="B165" s="239" t="s">
        <v>1429</v>
      </c>
    </row>
    <row r="166" spans="1:2" s="247" customFormat="1" x14ac:dyDescent="0.2">
      <c r="A166" s="240" t="s">
        <v>924</v>
      </c>
      <c r="B166" s="239" t="s">
        <v>1430</v>
      </c>
    </row>
    <row r="167" spans="1:2" s="247" customFormat="1" x14ac:dyDescent="0.2">
      <c r="A167" s="240" t="s">
        <v>925</v>
      </c>
      <c r="B167" s="239" t="s">
        <v>1410</v>
      </c>
    </row>
    <row r="168" spans="1:2" s="247" customFormat="1" x14ac:dyDescent="0.2">
      <c r="A168" s="240" t="s">
        <v>926</v>
      </c>
      <c r="B168" s="239" t="s">
        <v>1431</v>
      </c>
    </row>
    <row r="169" spans="1:2" s="247" customFormat="1" x14ac:dyDescent="0.2">
      <c r="A169" s="240" t="s">
        <v>927</v>
      </c>
      <c r="B169" s="239" t="s">
        <v>1412</v>
      </c>
    </row>
    <row r="170" spans="1:2" s="247" customFormat="1" x14ac:dyDescent="0.2">
      <c r="A170" s="240" t="s">
        <v>928</v>
      </c>
      <c r="B170" s="239" t="s">
        <v>1413</v>
      </c>
    </row>
    <row r="171" spans="1:2" s="247" customFormat="1" x14ac:dyDescent="0.2">
      <c r="A171" s="240" t="s">
        <v>929</v>
      </c>
      <c r="B171" s="239" t="s">
        <v>1414</v>
      </c>
    </row>
    <row r="172" spans="1:2" s="247" customFormat="1" x14ac:dyDescent="0.2">
      <c r="A172" s="240" t="s">
        <v>930</v>
      </c>
      <c r="B172" s="239" t="s">
        <v>1415</v>
      </c>
    </row>
    <row r="173" spans="1:2" s="247" customFormat="1" x14ac:dyDescent="0.2">
      <c r="A173" s="240" t="s">
        <v>932</v>
      </c>
      <c r="B173" s="239" t="s">
        <v>1441</v>
      </c>
    </row>
    <row r="174" spans="1:2" s="247" customFormat="1" x14ac:dyDescent="0.2">
      <c r="A174" s="240" t="s">
        <v>933</v>
      </c>
      <c r="B174" s="239" t="s">
        <v>1442</v>
      </c>
    </row>
    <row r="175" spans="1:2" s="247" customFormat="1" x14ac:dyDescent="0.2">
      <c r="A175" s="240" t="s">
        <v>934</v>
      </c>
      <c r="B175" s="239" t="s">
        <v>1443</v>
      </c>
    </row>
    <row r="176" spans="1:2" s="247" customFormat="1" x14ac:dyDescent="0.2">
      <c r="A176" s="240" t="s">
        <v>935</v>
      </c>
      <c r="B176" s="239" t="s">
        <v>1444</v>
      </c>
    </row>
    <row r="177" spans="1:2" s="247" customFormat="1" x14ac:dyDescent="0.2">
      <c r="A177" s="240" t="s">
        <v>936</v>
      </c>
      <c r="B177" s="239" t="s">
        <v>1445</v>
      </c>
    </row>
    <row r="178" spans="1:2" s="247" customFormat="1" x14ac:dyDescent="0.2">
      <c r="A178" s="240" t="s">
        <v>937</v>
      </c>
      <c r="B178" s="239" t="s">
        <v>1421</v>
      </c>
    </row>
    <row r="179" spans="1:2" s="247" customFormat="1" x14ac:dyDescent="0.2">
      <c r="A179" s="240" t="s">
        <v>938</v>
      </c>
      <c r="B179" s="239" t="s">
        <v>1435</v>
      </c>
    </row>
    <row r="180" spans="1:2" s="247" customFormat="1" x14ac:dyDescent="0.2">
      <c r="A180" s="240" t="s">
        <v>939</v>
      </c>
      <c r="B180" s="239" t="s">
        <v>1436</v>
      </c>
    </row>
    <row r="181" spans="1:2" s="247" customFormat="1" x14ac:dyDescent="0.2">
      <c r="A181" s="240" t="s">
        <v>940</v>
      </c>
      <c r="B181" s="239" t="s">
        <v>1424</v>
      </c>
    </row>
    <row r="182" spans="1:2" s="247" customFormat="1" x14ac:dyDescent="0.2">
      <c r="A182" s="240" t="s">
        <v>941</v>
      </c>
      <c r="B182" s="239" t="s">
        <v>1425</v>
      </c>
    </row>
    <row r="183" spans="1:2" s="247" customFormat="1" x14ac:dyDescent="0.2">
      <c r="A183" s="240" t="s">
        <v>942</v>
      </c>
      <c r="B183" s="239" t="s">
        <v>1426</v>
      </c>
    </row>
    <row r="184" spans="1:2" s="247" customFormat="1" x14ac:dyDescent="0.2">
      <c r="A184" s="238" t="s">
        <v>1070</v>
      </c>
      <c r="B184" s="239" t="s">
        <v>1446</v>
      </c>
    </row>
    <row r="185" spans="1:2" s="247" customFormat="1" x14ac:dyDescent="0.2">
      <c r="A185" s="240" t="s">
        <v>1072</v>
      </c>
      <c r="B185" s="239" t="s">
        <v>1447</v>
      </c>
    </row>
    <row r="186" spans="1:2" s="247" customFormat="1" x14ac:dyDescent="0.2">
      <c r="A186" s="240" t="s">
        <v>1073</v>
      </c>
      <c r="B186" s="239" t="s">
        <v>1448</v>
      </c>
    </row>
    <row r="187" spans="1:2" s="247" customFormat="1" x14ac:dyDescent="0.2">
      <c r="A187" s="240" t="s">
        <v>1074</v>
      </c>
      <c r="B187" s="239" t="s">
        <v>1449</v>
      </c>
    </row>
    <row r="188" spans="1:2" s="247" customFormat="1" x14ac:dyDescent="0.2">
      <c r="A188" s="240" t="s">
        <v>1075</v>
      </c>
      <c r="B188" s="239" t="s">
        <v>1450</v>
      </c>
    </row>
    <row r="189" spans="1:2" s="247" customFormat="1" x14ac:dyDescent="0.2">
      <c r="A189" s="241" t="s">
        <v>1076</v>
      </c>
      <c r="B189" s="239" t="s">
        <v>1451</v>
      </c>
    </row>
    <row r="190" spans="1:2" s="247" customFormat="1" x14ac:dyDescent="0.2">
      <c r="A190" s="241" t="s">
        <v>1077</v>
      </c>
      <c r="B190" s="239" t="s">
        <v>1452</v>
      </c>
    </row>
    <row r="191" spans="1:2" s="247" customFormat="1" x14ac:dyDescent="0.2">
      <c r="A191" s="241" t="s">
        <v>1079</v>
      </c>
      <c r="B191" s="239" t="s">
        <v>1453</v>
      </c>
    </row>
    <row r="192" spans="1:2" s="247" customFormat="1" x14ac:dyDescent="0.2">
      <c r="A192" s="240" t="s">
        <v>1080</v>
      </c>
      <c r="B192" s="239" t="s">
        <v>1454</v>
      </c>
    </row>
    <row r="193" spans="1:2" s="247" customFormat="1" x14ac:dyDescent="0.2">
      <c r="A193" s="240" t="s">
        <v>1081</v>
      </c>
      <c r="B193" s="239" t="s">
        <v>1455</v>
      </c>
    </row>
    <row r="194" spans="1:2" s="247" customFormat="1" x14ac:dyDescent="0.2">
      <c r="A194" s="238" t="s">
        <v>1082</v>
      </c>
      <c r="B194" s="239" t="s">
        <v>1456</v>
      </c>
    </row>
    <row r="195" spans="1:2" s="247" customFormat="1" x14ac:dyDescent="0.2">
      <c r="A195" s="238" t="s">
        <v>1083</v>
      </c>
      <c r="B195" s="239" t="s">
        <v>1457</v>
      </c>
    </row>
    <row r="196" spans="1:2" s="247" customFormat="1" x14ac:dyDescent="0.2">
      <c r="A196" s="238" t="s">
        <v>1084</v>
      </c>
      <c r="B196" s="239" t="s">
        <v>1458</v>
      </c>
    </row>
    <row r="197" spans="1:2" s="247" customFormat="1" x14ac:dyDescent="0.2">
      <c r="A197" s="238" t="s">
        <v>1085</v>
      </c>
      <c r="B197" s="239" t="s">
        <v>1459</v>
      </c>
    </row>
    <row r="198" spans="1:2" s="247" customFormat="1" x14ac:dyDescent="0.2">
      <c r="A198" s="238" t="s">
        <v>1086</v>
      </c>
      <c r="B198" s="239" t="s">
        <v>1460</v>
      </c>
    </row>
    <row r="199" spans="1:2" s="247" customFormat="1" x14ac:dyDescent="0.2">
      <c r="A199" s="238" t="s">
        <v>1087</v>
      </c>
      <c r="B199" s="239" t="s">
        <v>1461</v>
      </c>
    </row>
    <row r="200" spans="1:2" s="247" customFormat="1" x14ac:dyDescent="0.2">
      <c r="A200" s="238" t="s">
        <v>1088</v>
      </c>
      <c r="B200" s="239" t="s">
        <v>1462</v>
      </c>
    </row>
    <row r="201" spans="1:2" s="247" customFormat="1" x14ac:dyDescent="0.2">
      <c r="A201" s="238" t="s">
        <v>1089</v>
      </c>
      <c r="B201" s="239" t="s">
        <v>1463</v>
      </c>
    </row>
    <row r="202" spans="1:2" s="247" customFormat="1" x14ac:dyDescent="0.2">
      <c r="A202" s="238" t="s">
        <v>1090</v>
      </c>
      <c r="B202" s="241" t="s">
        <v>1464</v>
      </c>
    </row>
    <row r="203" spans="1:2" s="247" customFormat="1" x14ac:dyDescent="0.2">
      <c r="A203" s="238" t="s">
        <v>1092</v>
      </c>
      <c r="B203" s="241" t="s">
        <v>1465</v>
      </c>
    </row>
    <row r="204" spans="1:2" s="247" customFormat="1" x14ac:dyDescent="0.2">
      <c r="A204" s="238" t="s">
        <v>1093</v>
      </c>
      <c r="B204" s="241" t="s">
        <v>1466</v>
      </c>
    </row>
    <row r="205" spans="1:2" s="247" customFormat="1" x14ac:dyDescent="0.2">
      <c r="A205" s="238" t="s">
        <v>1095</v>
      </c>
      <c r="B205" s="241" t="s">
        <v>1467</v>
      </c>
    </row>
    <row r="206" spans="1:2" s="247" customFormat="1" x14ac:dyDescent="0.2">
      <c r="A206" s="238" t="s">
        <v>1096</v>
      </c>
      <c r="B206" s="241" t="s">
        <v>1468</v>
      </c>
    </row>
    <row r="207" spans="1:2" s="247" customFormat="1" x14ac:dyDescent="0.2">
      <c r="A207" s="241" t="s">
        <v>1099</v>
      </c>
      <c r="B207" s="239" t="s">
        <v>1469</v>
      </c>
    </row>
    <row r="208" spans="1:2" s="247" customFormat="1" x14ac:dyDescent="0.2">
      <c r="A208" s="241" t="s">
        <v>1102</v>
      </c>
      <c r="B208" s="239" t="s">
        <v>1470</v>
      </c>
    </row>
    <row r="209" spans="1:2" s="247" customFormat="1" x14ac:dyDescent="0.2">
      <c r="A209" s="241" t="s">
        <v>1103</v>
      </c>
      <c r="B209" s="239" t="s">
        <v>1471</v>
      </c>
    </row>
    <row r="210" spans="1:2" s="247" customFormat="1" x14ac:dyDescent="0.2">
      <c r="A210" s="241" t="s">
        <v>1105</v>
      </c>
      <c r="B210" s="239" t="s">
        <v>1472</v>
      </c>
    </row>
    <row r="211" spans="1:2" s="247" customFormat="1" x14ac:dyDescent="0.2">
      <c r="A211" s="241" t="s">
        <v>1106</v>
      </c>
      <c r="B211" s="239" t="s">
        <v>1473</v>
      </c>
    </row>
    <row r="212" spans="1:2" s="247" customFormat="1" x14ac:dyDescent="0.2">
      <c r="A212" s="241" t="s">
        <v>1108</v>
      </c>
      <c r="B212" s="239" t="s">
        <v>1474</v>
      </c>
    </row>
    <row r="213" spans="1:2" s="247" customFormat="1" x14ac:dyDescent="0.2">
      <c r="A213" s="241" t="s">
        <v>1110</v>
      </c>
      <c r="B213" s="239" t="s">
        <v>1475</v>
      </c>
    </row>
    <row r="214" spans="1:2" s="247" customFormat="1" x14ac:dyDescent="0.2">
      <c r="A214" s="241" t="s">
        <v>1111</v>
      </c>
      <c r="B214" s="239" t="s">
        <v>1476</v>
      </c>
    </row>
    <row r="215" spans="1:2" s="247" customFormat="1" x14ac:dyDescent="0.2">
      <c r="A215" s="241" t="s">
        <v>1113</v>
      </c>
      <c r="B215" s="239" t="s">
        <v>1477</v>
      </c>
    </row>
    <row r="216" spans="1:2" s="247" customFormat="1" x14ac:dyDescent="0.2">
      <c r="A216" s="241" t="s">
        <v>1115</v>
      </c>
      <c r="B216" s="239" t="s">
        <v>1478</v>
      </c>
    </row>
    <row r="217" spans="1:2" s="247" customFormat="1" x14ac:dyDescent="0.2">
      <c r="A217" s="241" t="s">
        <v>1116</v>
      </c>
      <c r="B217" s="239" t="s">
        <v>1479</v>
      </c>
    </row>
    <row r="218" spans="1:2" s="247" customFormat="1" x14ac:dyDescent="0.2">
      <c r="A218" s="241" t="s">
        <v>1118</v>
      </c>
      <c r="B218" s="239" t="s">
        <v>1480</v>
      </c>
    </row>
    <row r="219" spans="1:2" s="247" customFormat="1" x14ac:dyDescent="0.2">
      <c r="A219" s="241" t="s">
        <v>1119</v>
      </c>
      <c r="B219" s="239" t="s">
        <v>1481</v>
      </c>
    </row>
    <row r="220" spans="1:2" s="247" customFormat="1" x14ac:dyDescent="0.2">
      <c r="A220" s="241" t="s">
        <v>1121</v>
      </c>
      <c r="B220" s="239" t="s">
        <v>1482</v>
      </c>
    </row>
    <row r="221" spans="1:2" s="247" customFormat="1" x14ac:dyDescent="0.2">
      <c r="A221" s="240" t="s">
        <v>1129</v>
      </c>
      <c r="B221" s="239" t="s">
        <v>1483</v>
      </c>
    </row>
    <row r="222" spans="1:2" s="247" customFormat="1" x14ac:dyDescent="0.2">
      <c r="A222" s="240" t="s">
        <v>1131</v>
      </c>
      <c r="B222" s="239" t="s">
        <v>1484</v>
      </c>
    </row>
    <row r="223" spans="1:2" s="247" customFormat="1" x14ac:dyDescent="0.2">
      <c r="A223" s="240" t="s">
        <v>1132</v>
      </c>
      <c r="B223" s="239" t="s">
        <v>1485</v>
      </c>
    </row>
    <row r="224" spans="1:2" s="247" customFormat="1" x14ac:dyDescent="0.2">
      <c r="A224" s="240" t="s">
        <v>1133</v>
      </c>
      <c r="B224" s="239" t="s">
        <v>1486</v>
      </c>
    </row>
    <row r="225" spans="1:2" s="247" customFormat="1" x14ac:dyDescent="0.2">
      <c r="A225" s="240" t="s">
        <v>1135</v>
      </c>
      <c r="B225" s="239" t="s">
        <v>1487</v>
      </c>
    </row>
    <row r="226" spans="1:2" s="247" customFormat="1" x14ac:dyDescent="0.2">
      <c r="A226" s="240" t="s">
        <v>1136</v>
      </c>
      <c r="B226" s="239" t="s">
        <v>1488</v>
      </c>
    </row>
    <row r="227" spans="1:2" s="247" customFormat="1" x14ac:dyDescent="0.2">
      <c r="A227" s="240" t="s">
        <v>1137</v>
      </c>
      <c r="B227" s="239" t="s">
        <v>1489</v>
      </c>
    </row>
    <row r="228" spans="1:2" s="247" customFormat="1" x14ac:dyDescent="0.2">
      <c r="A228" s="240" t="s">
        <v>1139</v>
      </c>
      <c r="B228" s="239" t="s">
        <v>1490</v>
      </c>
    </row>
    <row r="229" spans="1:2" s="247" customFormat="1" x14ac:dyDescent="0.2">
      <c r="A229" s="240" t="s">
        <v>1141</v>
      </c>
      <c r="B229" s="239" t="s">
        <v>1491</v>
      </c>
    </row>
    <row r="230" spans="1:2" s="247" customFormat="1" x14ac:dyDescent="0.2">
      <c r="A230" s="240" t="s">
        <v>1143</v>
      </c>
      <c r="B230" s="239" t="s">
        <v>1492</v>
      </c>
    </row>
    <row r="231" spans="1:2" s="247" customFormat="1" x14ac:dyDescent="0.2">
      <c r="A231" s="240" t="s">
        <v>1144</v>
      </c>
      <c r="B231" s="239" t="s">
        <v>1493</v>
      </c>
    </row>
    <row r="232" spans="1:2" s="247" customFormat="1" x14ac:dyDescent="0.2">
      <c r="A232" s="240" t="s">
        <v>1145</v>
      </c>
      <c r="B232" s="239" t="s">
        <v>1494</v>
      </c>
    </row>
    <row r="233" spans="1:2" s="247" customFormat="1" x14ac:dyDescent="0.2">
      <c r="A233" s="240" t="s">
        <v>1742</v>
      </c>
      <c r="B233" s="239" t="s">
        <v>1746</v>
      </c>
    </row>
    <row r="234" spans="1:2" s="247" customFormat="1" x14ac:dyDescent="0.2">
      <c r="A234" s="240" t="s">
        <v>1147</v>
      </c>
      <c r="B234" s="239" t="s">
        <v>1495</v>
      </c>
    </row>
    <row r="235" spans="1:2" s="247" customFormat="1" x14ac:dyDescent="0.2">
      <c r="A235" s="240" t="s">
        <v>1743</v>
      </c>
      <c r="B235" s="239" t="s">
        <v>1747</v>
      </c>
    </row>
    <row r="236" spans="1:2" s="247" customFormat="1" x14ac:dyDescent="0.2">
      <c r="A236" s="240" t="s">
        <v>1101</v>
      </c>
      <c r="B236" s="239" t="s">
        <v>1496</v>
      </c>
    </row>
    <row r="237" spans="1:2" s="247" customFormat="1" x14ac:dyDescent="0.2">
      <c r="A237" s="239" t="s">
        <v>1104</v>
      </c>
      <c r="B237" s="239" t="s">
        <v>1497</v>
      </c>
    </row>
    <row r="238" spans="1:2" s="247" customFormat="1" x14ac:dyDescent="0.2">
      <c r="A238" s="240" t="s">
        <v>1130</v>
      </c>
      <c r="B238" s="239" t="s">
        <v>1498</v>
      </c>
    </row>
    <row r="239" spans="1:2" s="247" customFormat="1" x14ac:dyDescent="0.2">
      <c r="A239" s="240" t="s">
        <v>1134</v>
      </c>
      <c r="B239" s="239" t="s">
        <v>1499</v>
      </c>
    </row>
    <row r="240" spans="1:2" s="247" customFormat="1" x14ac:dyDescent="0.2">
      <c r="A240" s="240" t="s">
        <v>1138</v>
      </c>
      <c r="B240" s="239" t="s">
        <v>1500</v>
      </c>
    </row>
    <row r="241" spans="1:2" s="247" customFormat="1" x14ac:dyDescent="0.2">
      <c r="A241" s="241" t="s">
        <v>736</v>
      </c>
      <c r="B241" s="239" t="s">
        <v>1501</v>
      </c>
    </row>
    <row r="242" spans="1:2" s="247" customFormat="1" x14ac:dyDescent="0.2">
      <c r="A242" s="241" t="s">
        <v>737</v>
      </c>
      <c r="B242" s="239" t="s">
        <v>1502</v>
      </c>
    </row>
    <row r="243" spans="1:2" s="247" customFormat="1" x14ac:dyDescent="0.2">
      <c r="A243" s="241" t="s">
        <v>1288</v>
      </c>
      <c r="B243" s="239" t="s">
        <v>1503</v>
      </c>
    </row>
    <row r="244" spans="1:2" s="247" customFormat="1" x14ac:dyDescent="0.2">
      <c r="A244" s="241" t="s">
        <v>1293</v>
      </c>
      <c r="B244" s="239" t="s">
        <v>1504</v>
      </c>
    </row>
    <row r="245" spans="1:2" s="247" customFormat="1" x14ac:dyDescent="0.2">
      <c r="A245" s="241" t="s">
        <v>1294</v>
      </c>
      <c r="B245" s="239" t="s">
        <v>1505</v>
      </c>
    </row>
    <row r="246" spans="1:2" s="247" customFormat="1" x14ac:dyDescent="0.2">
      <c r="A246" s="241" t="s">
        <v>1295</v>
      </c>
      <c r="B246" s="239" t="s">
        <v>1506</v>
      </c>
    </row>
    <row r="247" spans="1:2" s="247" customFormat="1" x14ac:dyDescent="0.2">
      <c r="A247" s="241" t="s">
        <v>738</v>
      </c>
      <c r="B247" s="239" t="s">
        <v>1507</v>
      </c>
    </row>
    <row r="248" spans="1:2" s="247" customFormat="1" x14ac:dyDescent="0.2">
      <c r="A248" s="241" t="s">
        <v>739</v>
      </c>
      <c r="B248" s="239" t="s">
        <v>1508</v>
      </c>
    </row>
    <row r="249" spans="1:2" s="247" customFormat="1" x14ac:dyDescent="0.2">
      <c r="A249" s="241" t="s">
        <v>740</v>
      </c>
      <c r="B249" s="239" t="s">
        <v>1509</v>
      </c>
    </row>
    <row r="250" spans="1:2" s="247" customFormat="1" x14ac:dyDescent="0.2">
      <c r="A250" s="241" t="s">
        <v>741</v>
      </c>
      <c r="B250" s="239" t="s">
        <v>1510</v>
      </c>
    </row>
    <row r="251" spans="1:2" s="247" customFormat="1" x14ac:dyDescent="0.2">
      <c r="A251" s="241" t="s">
        <v>1296</v>
      </c>
      <c r="B251" s="239" t="s">
        <v>1511</v>
      </c>
    </row>
    <row r="252" spans="1:2" s="247" customFormat="1" x14ac:dyDescent="0.2">
      <c r="A252" s="241" t="s">
        <v>1297</v>
      </c>
      <c r="B252" s="239" t="s">
        <v>1512</v>
      </c>
    </row>
    <row r="253" spans="1:2" s="247" customFormat="1" x14ac:dyDescent="0.2">
      <c r="A253" s="241" t="s">
        <v>742</v>
      </c>
      <c r="B253" s="239" t="s">
        <v>1513</v>
      </c>
    </row>
    <row r="254" spans="1:2" s="247" customFormat="1" x14ac:dyDescent="0.2">
      <c r="A254" s="241" t="s">
        <v>743</v>
      </c>
      <c r="B254" s="239" t="s">
        <v>1514</v>
      </c>
    </row>
    <row r="255" spans="1:2" s="247" customFormat="1" x14ac:dyDescent="0.2">
      <c r="A255" s="241" t="s">
        <v>744</v>
      </c>
      <c r="B255" s="239" t="s">
        <v>1515</v>
      </c>
    </row>
    <row r="256" spans="1:2" s="247" customFormat="1" x14ac:dyDescent="0.2">
      <c r="A256" s="241" t="s">
        <v>745</v>
      </c>
      <c r="B256" s="239" t="s">
        <v>1516</v>
      </c>
    </row>
    <row r="257" spans="1:2" s="247" customFormat="1" x14ac:dyDescent="0.2">
      <c r="A257" s="241" t="s">
        <v>746</v>
      </c>
      <c r="B257" s="239" t="s">
        <v>1517</v>
      </c>
    </row>
    <row r="258" spans="1:2" s="247" customFormat="1" x14ac:dyDescent="0.2">
      <c r="A258" s="241" t="s">
        <v>747</v>
      </c>
      <c r="B258" s="239" t="s">
        <v>1518</v>
      </c>
    </row>
    <row r="259" spans="1:2" s="247" customFormat="1" x14ac:dyDescent="0.2">
      <c r="A259" s="241" t="s">
        <v>748</v>
      </c>
      <c r="B259" s="239" t="s">
        <v>1519</v>
      </c>
    </row>
    <row r="260" spans="1:2" s="247" customFormat="1" x14ac:dyDescent="0.2">
      <c r="A260" s="241" t="s">
        <v>749</v>
      </c>
      <c r="B260" s="239" t="s">
        <v>1520</v>
      </c>
    </row>
    <row r="261" spans="1:2" s="247" customFormat="1" x14ac:dyDescent="0.2">
      <c r="A261" s="241" t="s">
        <v>750</v>
      </c>
      <c r="B261" s="239" t="s">
        <v>1521</v>
      </c>
    </row>
    <row r="262" spans="1:2" s="247" customFormat="1" x14ac:dyDescent="0.2">
      <c r="A262" s="241" t="s">
        <v>751</v>
      </c>
      <c r="B262" s="239" t="s">
        <v>1522</v>
      </c>
    </row>
    <row r="263" spans="1:2" s="247" customFormat="1" x14ac:dyDescent="0.2">
      <c r="A263" s="241" t="s">
        <v>752</v>
      </c>
      <c r="B263" s="239" t="s">
        <v>1523</v>
      </c>
    </row>
    <row r="264" spans="1:2" s="247" customFormat="1" x14ac:dyDescent="0.2">
      <c r="A264" s="241" t="s">
        <v>753</v>
      </c>
      <c r="B264" s="239" t="s">
        <v>1524</v>
      </c>
    </row>
    <row r="265" spans="1:2" s="247" customFormat="1" x14ac:dyDescent="0.2">
      <c r="A265" s="241" t="s">
        <v>754</v>
      </c>
      <c r="B265" s="239" t="s">
        <v>1525</v>
      </c>
    </row>
    <row r="266" spans="1:2" s="247" customFormat="1" x14ac:dyDescent="0.2">
      <c r="A266" s="241" t="s">
        <v>755</v>
      </c>
      <c r="B266" s="239" t="s">
        <v>1526</v>
      </c>
    </row>
    <row r="267" spans="1:2" s="247" customFormat="1" x14ac:dyDescent="0.2">
      <c r="A267" s="241" t="s">
        <v>756</v>
      </c>
      <c r="B267" s="239" t="s">
        <v>1527</v>
      </c>
    </row>
    <row r="268" spans="1:2" s="247" customFormat="1" x14ac:dyDescent="0.2">
      <c r="A268" s="241" t="s">
        <v>757</v>
      </c>
      <c r="B268" s="239" t="s">
        <v>1528</v>
      </c>
    </row>
    <row r="269" spans="1:2" s="247" customFormat="1" x14ac:dyDescent="0.2">
      <c r="A269" s="241" t="s">
        <v>799</v>
      </c>
      <c r="B269" s="239" t="s">
        <v>1610</v>
      </c>
    </row>
    <row r="270" spans="1:2" s="247" customFormat="1" x14ac:dyDescent="0.2">
      <c r="A270" s="241" t="s">
        <v>854</v>
      </c>
      <c r="B270" s="239" t="s">
        <v>1611</v>
      </c>
    </row>
    <row r="271" spans="1:2" s="247" customFormat="1" x14ac:dyDescent="0.2">
      <c r="A271" s="241" t="s">
        <v>859</v>
      </c>
      <c r="B271" s="239" t="s">
        <v>1612</v>
      </c>
    </row>
    <row r="272" spans="1:2" s="247" customFormat="1" x14ac:dyDescent="0.2">
      <c r="A272" s="241" t="s">
        <v>858</v>
      </c>
      <c r="B272" s="239" t="s">
        <v>1613</v>
      </c>
    </row>
    <row r="273" spans="1:2" s="247" customFormat="1" x14ac:dyDescent="0.2">
      <c r="A273" s="240" t="s">
        <v>881</v>
      </c>
      <c r="B273" s="242" t="s">
        <v>1529</v>
      </c>
    </row>
    <row r="274" spans="1:2" s="247" customFormat="1" x14ac:dyDescent="0.2">
      <c r="A274" s="240" t="s">
        <v>887</v>
      </c>
      <c r="B274" s="242" t="s">
        <v>1530</v>
      </c>
    </row>
    <row r="275" spans="1:2" s="247" customFormat="1" x14ac:dyDescent="0.2">
      <c r="A275" s="240" t="s">
        <v>902</v>
      </c>
      <c r="B275" s="242" t="s">
        <v>1531</v>
      </c>
    </row>
    <row r="276" spans="1:2" s="247" customFormat="1" x14ac:dyDescent="0.2">
      <c r="A276" s="240" t="s">
        <v>904</v>
      </c>
      <c r="B276" s="242" t="s">
        <v>1532</v>
      </c>
    </row>
    <row r="277" spans="1:2" s="247" customFormat="1" x14ac:dyDescent="0.2">
      <c r="A277" s="240" t="s">
        <v>907</v>
      </c>
      <c r="B277" s="242" t="s">
        <v>1533</v>
      </c>
    </row>
    <row r="278" spans="1:2" s="247" customFormat="1" x14ac:dyDescent="0.2">
      <c r="A278" s="240" t="s">
        <v>918</v>
      </c>
      <c r="B278" s="242" t="s">
        <v>1534</v>
      </c>
    </row>
    <row r="279" spans="1:2" s="247" customFormat="1" x14ac:dyDescent="0.2">
      <c r="A279" s="240" t="s">
        <v>931</v>
      </c>
      <c r="B279" s="242" t="s">
        <v>1535</v>
      </c>
    </row>
    <row r="280" spans="1:2" s="247" customFormat="1" x14ac:dyDescent="0.2">
      <c r="A280" s="240" t="s">
        <v>954</v>
      </c>
      <c r="B280" s="242" t="s">
        <v>1536</v>
      </c>
    </row>
    <row r="281" spans="1:2" s="247" customFormat="1" x14ac:dyDescent="0.2">
      <c r="A281" s="240" t="s">
        <v>1287</v>
      </c>
      <c r="B281" s="242" t="s">
        <v>1537</v>
      </c>
    </row>
    <row r="282" spans="1:2" s="247" customFormat="1" x14ac:dyDescent="0.2">
      <c r="A282" s="241" t="s">
        <v>1289</v>
      </c>
      <c r="B282" s="241" t="s">
        <v>1538</v>
      </c>
    </row>
    <row r="283" spans="1:2" s="247" customFormat="1" x14ac:dyDescent="0.2">
      <c r="A283" s="240" t="s">
        <v>880</v>
      </c>
      <c r="B283" s="242" t="s">
        <v>1539</v>
      </c>
    </row>
    <row r="284" spans="1:2" s="247" customFormat="1" x14ac:dyDescent="0.2">
      <c r="A284" s="240" t="s">
        <v>895</v>
      </c>
      <c r="B284" s="242" t="s">
        <v>1540</v>
      </c>
    </row>
    <row r="285" spans="1:2" s="247" customFormat="1" x14ac:dyDescent="0.2">
      <c r="A285" s="240" t="s">
        <v>1298</v>
      </c>
      <c r="B285" s="242" t="s">
        <v>1541</v>
      </c>
    </row>
    <row r="286" spans="1:2" s="247" customFormat="1" x14ac:dyDescent="0.2">
      <c r="A286" s="240" t="s">
        <v>906</v>
      </c>
      <c r="B286" s="242" t="s">
        <v>1542</v>
      </c>
    </row>
    <row r="287" spans="1:2" s="247" customFormat="1" x14ac:dyDescent="0.2">
      <c r="A287" s="240" t="s">
        <v>920</v>
      </c>
      <c r="B287" s="242" t="s">
        <v>1543</v>
      </c>
    </row>
    <row r="288" spans="1:2" s="247" customFormat="1" x14ac:dyDescent="0.2">
      <c r="A288" s="241" t="s">
        <v>1290</v>
      </c>
      <c r="B288" s="242" t="s">
        <v>1544</v>
      </c>
    </row>
    <row r="289" spans="1:2" s="247" customFormat="1" x14ac:dyDescent="0.2">
      <c r="A289" s="241" t="s">
        <v>944</v>
      </c>
      <c r="B289" s="242" t="s">
        <v>1545</v>
      </c>
    </row>
    <row r="290" spans="1:2" s="247" customFormat="1" x14ac:dyDescent="0.2">
      <c r="A290" s="241" t="s">
        <v>1291</v>
      </c>
      <c r="B290" s="242" t="s">
        <v>1546</v>
      </c>
    </row>
    <row r="291" spans="1:2" s="247" customFormat="1" x14ac:dyDescent="0.2">
      <c r="A291" s="240" t="s">
        <v>977</v>
      </c>
      <c r="B291" s="242" t="s">
        <v>1547</v>
      </c>
    </row>
    <row r="292" spans="1:2" s="247" customFormat="1" x14ac:dyDescent="0.2">
      <c r="A292" s="240" t="s">
        <v>982</v>
      </c>
      <c r="B292" s="242" t="s">
        <v>1548</v>
      </c>
    </row>
    <row r="293" spans="1:2" s="247" customFormat="1" x14ac:dyDescent="0.2">
      <c r="A293" s="240" t="s">
        <v>985</v>
      </c>
      <c r="B293" s="242" t="s">
        <v>1549</v>
      </c>
    </row>
    <row r="294" spans="1:2" s="247" customFormat="1" x14ac:dyDescent="0.2">
      <c r="A294" s="240" t="s">
        <v>1292</v>
      </c>
      <c r="B294" s="242" t="s">
        <v>1550</v>
      </c>
    </row>
    <row r="295" spans="1:2" s="247" customFormat="1" x14ac:dyDescent="0.2">
      <c r="A295" s="241" t="s">
        <v>1071</v>
      </c>
      <c r="B295" s="239" t="s">
        <v>1551</v>
      </c>
    </row>
    <row r="296" spans="1:2" s="247" customFormat="1" x14ac:dyDescent="0.2">
      <c r="A296" s="240" t="s">
        <v>1078</v>
      </c>
      <c r="B296" s="239" t="s">
        <v>1552</v>
      </c>
    </row>
    <row r="297" spans="1:2" s="247" customFormat="1" x14ac:dyDescent="0.2">
      <c r="A297" s="240" t="s">
        <v>1140</v>
      </c>
      <c r="B297" s="243" t="s">
        <v>1553</v>
      </c>
    </row>
    <row r="298" spans="1:2" s="247" customFormat="1" x14ac:dyDescent="0.2">
      <c r="A298" s="240" t="s">
        <v>1142</v>
      </c>
      <c r="B298" s="243" t="s">
        <v>1554</v>
      </c>
    </row>
    <row r="299" spans="1:2" s="247" customFormat="1" x14ac:dyDescent="0.2">
      <c r="A299" s="241" t="s">
        <v>1146</v>
      </c>
      <c r="B299" s="243" t="s">
        <v>1555</v>
      </c>
    </row>
    <row r="300" spans="1:2" s="247" customFormat="1" x14ac:dyDescent="0.2">
      <c r="A300" s="241" t="s">
        <v>1123</v>
      </c>
      <c r="B300" s="243" t="s">
        <v>1556</v>
      </c>
    </row>
    <row r="301" spans="1:2" s="247" customFormat="1" x14ac:dyDescent="0.2">
      <c r="A301" s="241" t="s">
        <v>1107</v>
      </c>
      <c r="B301" s="243" t="s">
        <v>1557</v>
      </c>
    </row>
    <row r="302" spans="1:2" s="247" customFormat="1" x14ac:dyDescent="0.2">
      <c r="A302" s="241" t="s">
        <v>1124</v>
      </c>
      <c r="B302" s="243" t="s">
        <v>1558</v>
      </c>
    </row>
    <row r="303" spans="1:2" s="247" customFormat="1" x14ac:dyDescent="0.2">
      <c r="A303" s="241" t="s">
        <v>1109</v>
      </c>
      <c r="B303" s="243" t="s">
        <v>1559</v>
      </c>
    </row>
    <row r="304" spans="1:2" s="247" customFormat="1" x14ac:dyDescent="0.2">
      <c r="A304" s="241" t="s">
        <v>1125</v>
      </c>
      <c r="B304" s="243" t="s">
        <v>1560</v>
      </c>
    </row>
    <row r="305" spans="1:2" s="247" customFormat="1" x14ac:dyDescent="0.2">
      <c r="A305" s="241" t="s">
        <v>1112</v>
      </c>
      <c r="B305" s="243" t="s">
        <v>1561</v>
      </c>
    </row>
    <row r="306" spans="1:2" s="247" customFormat="1" x14ac:dyDescent="0.2">
      <c r="A306" s="241" t="s">
        <v>1126</v>
      </c>
      <c r="B306" s="243" t="s">
        <v>1562</v>
      </c>
    </row>
    <row r="307" spans="1:2" s="247" customFormat="1" x14ac:dyDescent="0.2">
      <c r="A307" s="241" t="s">
        <v>1114</v>
      </c>
      <c r="B307" s="243" t="s">
        <v>1563</v>
      </c>
    </row>
    <row r="308" spans="1:2" s="247" customFormat="1" x14ac:dyDescent="0.2">
      <c r="A308" s="241" t="s">
        <v>1127</v>
      </c>
      <c r="B308" s="243" t="s">
        <v>1564</v>
      </c>
    </row>
    <row r="309" spans="1:2" s="247" customFormat="1" x14ac:dyDescent="0.2">
      <c r="A309" s="241" t="s">
        <v>1117</v>
      </c>
      <c r="B309" s="243" t="s">
        <v>1565</v>
      </c>
    </row>
    <row r="310" spans="1:2" s="247" customFormat="1" x14ac:dyDescent="0.2">
      <c r="A310" s="241" t="s">
        <v>1128</v>
      </c>
      <c r="B310" s="243" t="s">
        <v>1566</v>
      </c>
    </row>
    <row r="311" spans="1:2" s="247" customFormat="1" x14ac:dyDescent="0.2">
      <c r="A311" s="241" t="s">
        <v>1120</v>
      </c>
      <c r="B311" s="243" t="s">
        <v>1567</v>
      </c>
    </row>
    <row r="312" spans="1:2" s="247" customFormat="1" x14ac:dyDescent="0.2">
      <c r="A312" s="240" t="s">
        <v>1277</v>
      </c>
      <c r="B312" s="239" t="s">
        <v>1568</v>
      </c>
    </row>
    <row r="313" spans="1:2" s="247" customFormat="1" x14ac:dyDescent="0.2">
      <c r="A313" s="240" t="s">
        <v>1569</v>
      </c>
      <c r="B313" s="239" t="s">
        <v>1570</v>
      </c>
    </row>
    <row r="314" spans="1:2" s="247" customFormat="1" x14ac:dyDescent="0.2">
      <c r="A314" s="240" t="s">
        <v>1278</v>
      </c>
      <c r="B314" s="239" t="s">
        <v>1571</v>
      </c>
    </row>
    <row r="315" spans="1:2" s="247" customFormat="1" x14ac:dyDescent="0.2">
      <c r="A315" s="240" t="s">
        <v>1279</v>
      </c>
      <c r="B315" s="239" t="s">
        <v>1572</v>
      </c>
    </row>
    <row r="316" spans="1:2" s="247" customFormat="1" x14ac:dyDescent="0.2">
      <c r="A316" s="240" t="s">
        <v>1280</v>
      </c>
      <c r="B316" s="239" t="s">
        <v>1573</v>
      </c>
    </row>
    <row r="317" spans="1:2" s="247" customFormat="1" x14ac:dyDescent="0.2">
      <c r="A317" s="240" t="s">
        <v>1281</v>
      </c>
      <c r="B317" s="239" t="s">
        <v>1574</v>
      </c>
    </row>
    <row r="318" spans="1:2" s="247" customFormat="1" x14ac:dyDescent="0.2">
      <c r="A318" s="240" t="s">
        <v>1282</v>
      </c>
      <c r="B318" s="239" t="s">
        <v>1575</v>
      </c>
    </row>
    <row r="319" spans="1:2" s="247" customFormat="1" x14ac:dyDescent="0.2">
      <c r="A319" s="240" t="s">
        <v>1283</v>
      </c>
      <c r="B319" s="239" t="s">
        <v>1576</v>
      </c>
    </row>
    <row r="320" spans="1:2" s="247" customFormat="1" x14ac:dyDescent="0.2">
      <c r="A320" s="240" t="s">
        <v>1122</v>
      </c>
      <c r="B320" s="239" t="s">
        <v>1577</v>
      </c>
    </row>
    <row r="321" spans="1:2" s="247" customFormat="1" x14ac:dyDescent="0.2">
      <c r="A321" s="240" t="s">
        <v>1100</v>
      </c>
      <c r="B321" s="239" t="s">
        <v>1578</v>
      </c>
    </row>
    <row r="322" spans="1:2" s="247" customFormat="1" x14ac:dyDescent="0.2">
      <c r="A322" s="240" t="s">
        <v>1284</v>
      </c>
      <c r="B322" s="239" t="s">
        <v>1579</v>
      </c>
    </row>
    <row r="323" spans="1:2" s="247" customFormat="1" x14ac:dyDescent="0.2">
      <c r="A323" s="240" t="s">
        <v>1091</v>
      </c>
      <c r="B323" s="239" t="s">
        <v>1580</v>
      </c>
    </row>
    <row r="324" spans="1:2" s="247" customFormat="1" x14ac:dyDescent="0.2">
      <c r="A324" s="240" t="s">
        <v>1097</v>
      </c>
      <c r="B324" s="239" t="s">
        <v>1581</v>
      </c>
    </row>
    <row r="325" spans="1:2" s="247" customFormat="1" x14ac:dyDescent="0.2">
      <c r="A325" s="240" t="s">
        <v>1285</v>
      </c>
      <c r="B325" s="239" t="s">
        <v>1582</v>
      </c>
    </row>
    <row r="326" spans="1:2" s="247" customFormat="1" x14ac:dyDescent="0.2">
      <c r="A326" s="240" t="s">
        <v>1094</v>
      </c>
      <c r="B326" s="239" t="s">
        <v>1583</v>
      </c>
    </row>
    <row r="327" spans="1:2" s="247" customFormat="1" x14ac:dyDescent="0.2">
      <c r="A327" s="240" t="s">
        <v>1098</v>
      </c>
      <c r="B327" s="239" t="s">
        <v>1584</v>
      </c>
    </row>
    <row r="328" spans="1:2" s="247" customFormat="1" x14ac:dyDescent="0.2">
      <c r="A328" s="240" t="s">
        <v>1744</v>
      </c>
      <c r="B328" s="239" t="s">
        <v>1755</v>
      </c>
    </row>
    <row r="329" spans="1:2" s="247" customFormat="1" x14ac:dyDescent="0.2">
      <c r="A329" s="240" t="s">
        <v>1745</v>
      </c>
      <c r="B329" s="239" t="s">
        <v>1756</v>
      </c>
    </row>
    <row r="330" spans="1:2" s="247" customFormat="1" x14ac:dyDescent="0.2">
      <c r="A330" s="240" t="s">
        <v>1286</v>
      </c>
      <c r="B330" s="239" t="s">
        <v>1585</v>
      </c>
    </row>
    <row r="331" spans="1:2" s="247" customFormat="1" x14ac:dyDescent="0.2">
      <c r="A331" s="240" t="s">
        <v>1254</v>
      </c>
      <c r="B331" s="239" t="s">
        <v>1586</v>
      </c>
    </row>
    <row r="332" spans="1:2" s="247" customFormat="1" x14ac:dyDescent="0.2">
      <c r="A332" s="240" t="s">
        <v>1255</v>
      </c>
      <c r="B332" s="239" t="s">
        <v>1587</v>
      </c>
    </row>
    <row r="333" spans="1:2" s="247" customFormat="1" x14ac:dyDescent="0.2">
      <c r="A333" s="240" t="s">
        <v>1256</v>
      </c>
      <c r="B333" s="239" t="s">
        <v>1588</v>
      </c>
    </row>
    <row r="334" spans="1:2" s="247" customFormat="1" x14ac:dyDescent="0.2">
      <c r="A334" s="240" t="s">
        <v>1257</v>
      </c>
      <c r="B334" s="239" t="s">
        <v>1589</v>
      </c>
    </row>
    <row r="335" spans="1:2" s="247" customFormat="1" x14ac:dyDescent="0.2">
      <c r="A335" s="240" t="s">
        <v>1258</v>
      </c>
      <c r="B335" s="239" t="s">
        <v>1590</v>
      </c>
    </row>
    <row r="336" spans="1:2" s="247" customFormat="1" x14ac:dyDescent="0.2">
      <c r="A336" s="240" t="s">
        <v>1259</v>
      </c>
      <c r="B336" s="239" t="s">
        <v>1591</v>
      </c>
    </row>
    <row r="337" spans="1:2" s="247" customFormat="1" x14ac:dyDescent="0.2">
      <c r="A337" s="240" t="s">
        <v>1260</v>
      </c>
      <c r="B337" s="239" t="s">
        <v>1592</v>
      </c>
    </row>
    <row r="338" spans="1:2" s="247" customFormat="1" x14ac:dyDescent="0.2">
      <c r="A338" s="240" t="s">
        <v>1261</v>
      </c>
      <c r="B338" s="239" t="s">
        <v>1593</v>
      </c>
    </row>
    <row r="339" spans="1:2" s="247" customFormat="1" x14ac:dyDescent="0.2">
      <c r="A339" s="240" t="s">
        <v>1262</v>
      </c>
      <c r="B339" s="239" t="s">
        <v>1594</v>
      </c>
    </row>
    <row r="340" spans="1:2" s="247" customFormat="1" x14ac:dyDescent="0.2">
      <c r="A340" s="240" t="s">
        <v>1265</v>
      </c>
      <c r="B340" s="239" t="s">
        <v>1595</v>
      </c>
    </row>
    <row r="341" spans="1:2" s="247" customFormat="1" x14ac:dyDescent="0.2">
      <c r="A341" s="240" t="s">
        <v>1263</v>
      </c>
      <c r="B341" s="239" t="s">
        <v>1596</v>
      </c>
    </row>
    <row r="342" spans="1:2" s="247" customFormat="1" x14ac:dyDescent="0.2">
      <c r="A342" s="240" t="s">
        <v>1264</v>
      </c>
      <c r="B342" s="239" t="s">
        <v>1597</v>
      </c>
    </row>
    <row r="343" spans="1:2" s="247" customFormat="1" x14ac:dyDescent="0.2">
      <c r="A343" s="240" t="s">
        <v>1275</v>
      </c>
      <c r="B343" s="239" t="s">
        <v>1598</v>
      </c>
    </row>
    <row r="344" spans="1:2" s="247" customFormat="1" x14ac:dyDescent="0.2">
      <c r="A344" s="240" t="s">
        <v>1276</v>
      </c>
      <c r="B344" s="239" t="s">
        <v>1599</v>
      </c>
    </row>
    <row r="345" spans="1:2" s="247" customFormat="1" x14ac:dyDescent="0.2">
      <c r="A345" s="240" t="s">
        <v>1266</v>
      </c>
      <c r="B345" s="239" t="s">
        <v>1600</v>
      </c>
    </row>
    <row r="346" spans="1:2" s="247" customFormat="1" x14ac:dyDescent="0.2">
      <c r="A346" s="240" t="s">
        <v>1267</v>
      </c>
      <c r="B346" s="239" t="s">
        <v>1601</v>
      </c>
    </row>
    <row r="347" spans="1:2" s="247" customFormat="1" x14ac:dyDescent="0.2">
      <c r="A347" s="240" t="s">
        <v>1270</v>
      </c>
      <c r="B347" s="239" t="s">
        <v>1602</v>
      </c>
    </row>
    <row r="348" spans="1:2" s="247" customFormat="1" x14ac:dyDescent="0.2">
      <c r="A348" s="240" t="s">
        <v>1268</v>
      </c>
      <c r="B348" s="239" t="s">
        <v>1603</v>
      </c>
    </row>
    <row r="349" spans="1:2" s="247" customFormat="1" x14ac:dyDescent="0.2">
      <c r="A349" s="240" t="s">
        <v>1269</v>
      </c>
      <c r="B349" s="239" t="s">
        <v>1604</v>
      </c>
    </row>
    <row r="350" spans="1:2" s="247" customFormat="1" x14ac:dyDescent="0.2">
      <c r="A350" s="240" t="s">
        <v>1271</v>
      </c>
      <c r="B350" s="239" t="s">
        <v>1605</v>
      </c>
    </row>
    <row r="351" spans="1:2" s="247" customFormat="1" x14ac:dyDescent="0.2">
      <c r="A351" s="240" t="s">
        <v>1272</v>
      </c>
      <c r="B351" s="239" t="s">
        <v>1606</v>
      </c>
    </row>
    <row r="352" spans="1:2" s="247" customFormat="1" x14ac:dyDescent="0.2">
      <c r="A352" s="240" t="s">
        <v>1273</v>
      </c>
      <c r="B352" s="239" t="s">
        <v>1607</v>
      </c>
    </row>
    <row r="353" spans="1:2" s="247" customFormat="1" x14ac:dyDescent="0.2">
      <c r="A353" s="240" t="s">
        <v>1274</v>
      </c>
      <c r="B353" s="239" t="s">
        <v>1608</v>
      </c>
    </row>
    <row r="354" spans="1:2" x14ac:dyDescent="0.2">
      <c r="A354" s="240" t="s">
        <v>1148</v>
      </c>
      <c r="B354" s="256" t="s">
        <v>1614</v>
      </c>
    </row>
    <row r="355" spans="1:2" x14ac:dyDescent="0.2">
      <c r="A355" s="240" t="s">
        <v>1149</v>
      </c>
      <c r="B355" s="256" t="s">
        <v>1615</v>
      </c>
    </row>
    <row r="356" spans="1:2" x14ac:dyDescent="0.2">
      <c r="A356" s="240" t="s">
        <v>1150</v>
      </c>
      <c r="B356" s="256" t="s">
        <v>1616</v>
      </c>
    </row>
    <row r="357" spans="1:2" x14ac:dyDescent="0.2">
      <c r="A357" s="240" t="s">
        <v>1151</v>
      </c>
      <c r="B357" s="239" t="s">
        <v>1617</v>
      </c>
    </row>
    <row r="358" spans="1:2" x14ac:dyDescent="0.2">
      <c r="A358" s="240" t="s">
        <v>1152</v>
      </c>
      <c r="B358" s="239" t="s">
        <v>1618</v>
      </c>
    </row>
    <row r="359" spans="1:2" x14ac:dyDescent="0.2">
      <c r="A359" s="240" t="s">
        <v>1153</v>
      </c>
      <c r="B359" s="239" t="s">
        <v>1619</v>
      </c>
    </row>
    <row r="360" spans="1:2" x14ac:dyDescent="0.2">
      <c r="A360" s="240" t="s">
        <v>1154</v>
      </c>
      <c r="B360" s="256" t="s">
        <v>1620</v>
      </c>
    </row>
    <row r="361" spans="1:2" x14ac:dyDescent="0.2">
      <c r="A361" s="241" t="s">
        <v>1155</v>
      </c>
      <c r="B361" s="239" t="s">
        <v>1621</v>
      </c>
    </row>
    <row r="362" spans="1:2" x14ac:dyDescent="0.2">
      <c r="A362" s="240" t="s">
        <v>1156</v>
      </c>
      <c r="B362" s="239" t="s">
        <v>1622</v>
      </c>
    </row>
    <row r="363" spans="1:2" x14ac:dyDescent="0.2">
      <c r="A363" s="240" t="s">
        <v>1157</v>
      </c>
      <c r="B363" s="256" t="s">
        <v>1623</v>
      </c>
    </row>
    <row r="364" spans="1:2" x14ac:dyDescent="0.2">
      <c r="A364" s="240" t="s">
        <v>1158</v>
      </c>
      <c r="B364" s="239" t="s">
        <v>1624</v>
      </c>
    </row>
    <row r="365" spans="1:2" x14ac:dyDescent="0.2">
      <c r="A365" s="240" t="s">
        <v>1159</v>
      </c>
      <c r="B365" s="239" t="s">
        <v>1625</v>
      </c>
    </row>
    <row r="366" spans="1:2" x14ac:dyDescent="0.2">
      <c r="A366" s="240" t="s">
        <v>1160</v>
      </c>
      <c r="B366" s="239" t="s">
        <v>1626</v>
      </c>
    </row>
    <row r="367" spans="1:2" x14ac:dyDescent="0.2">
      <c r="A367" s="240" t="s">
        <v>1161</v>
      </c>
      <c r="B367" s="239" t="s">
        <v>1627</v>
      </c>
    </row>
    <row r="368" spans="1:2" x14ac:dyDescent="0.2">
      <c r="A368" s="240" t="s">
        <v>1162</v>
      </c>
      <c r="B368" s="256" t="s">
        <v>1628</v>
      </c>
    </row>
    <row r="369" spans="1:2" x14ac:dyDescent="0.2">
      <c r="A369" s="240" t="s">
        <v>1163</v>
      </c>
      <c r="B369" s="256" t="s">
        <v>1629</v>
      </c>
    </row>
    <row r="370" spans="1:2" x14ac:dyDescent="0.2">
      <c r="A370" s="240" t="s">
        <v>1164</v>
      </c>
      <c r="B370" s="239" t="s">
        <v>1630</v>
      </c>
    </row>
    <row r="371" spans="1:2" x14ac:dyDescent="0.2">
      <c r="A371" s="240" t="s">
        <v>1165</v>
      </c>
      <c r="B371" s="256" t="s">
        <v>1631</v>
      </c>
    </row>
    <row r="372" spans="1:2" x14ac:dyDescent="0.2">
      <c r="A372" s="240" t="s">
        <v>1166</v>
      </c>
      <c r="B372" s="239" t="s">
        <v>1632</v>
      </c>
    </row>
    <row r="373" spans="1:2" x14ac:dyDescent="0.2">
      <c r="A373" s="240" t="s">
        <v>1167</v>
      </c>
      <c r="B373" s="239" t="s">
        <v>1633</v>
      </c>
    </row>
    <row r="374" spans="1:2" x14ac:dyDescent="0.2">
      <c r="A374" s="240" t="s">
        <v>1168</v>
      </c>
      <c r="B374" s="256" t="s">
        <v>1634</v>
      </c>
    </row>
    <row r="375" spans="1:2" x14ac:dyDescent="0.2">
      <c r="A375" s="239" t="s">
        <v>1169</v>
      </c>
      <c r="B375" s="239" t="s">
        <v>1635</v>
      </c>
    </row>
    <row r="376" spans="1:2" x14ac:dyDescent="0.2">
      <c r="A376" s="240" t="s">
        <v>1170</v>
      </c>
      <c r="B376" s="256" t="s">
        <v>1636</v>
      </c>
    </row>
    <row r="377" spans="1:2" x14ac:dyDescent="0.2">
      <c r="A377" s="240" t="s">
        <v>1205</v>
      </c>
      <c r="B377" s="256" t="s">
        <v>1637</v>
      </c>
    </row>
    <row r="378" spans="1:2" x14ac:dyDescent="0.2">
      <c r="A378" s="240" t="s">
        <v>1206</v>
      </c>
      <c r="B378" s="256" t="s">
        <v>1638</v>
      </c>
    </row>
    <row r="379" spans="1:2" x14ac:dyDescent="0.2">
      <c r="A379" s="240" t="s">
        <v>1207</v>
      </c>
      <c r="B379" s="256" t="s">
        <v>1639</v>
      </c>
    </row>
    <row r="380" spans="1:2" x14ac:dyDescent="0.2">
      <c r="A380" s="240" t="s">
        <v>1208</v>
      </c>
      <c r="B380" s="256" t="s">
        <v>1640</v>
      </c>
    </row>
    <row r="381" spans="1:2" x14ac:dyDescent="0.2">
      <c r="A381" s="240" t="s">
        <v>1209</v>
      </c>
      <c r="B381" s="256" t="s">
        <v>1641</v>
      </c>
    </row>
    <row r="382" spans="1:2" x14ac:dyDescent="0.2">
      <c r="A382" s="240" t="s">
        <v>1210</v>
      </c>
      <c r="B382" s="256" t="s">
        <v>1642</v>
      </c>
    </row>
    <row r="383" spans="1:2" x14ac:dyDescent="0.2">
      <c r="A383" s="240" t="s">
        <v>1211</v>
      </c>
      <c r="B383" s="256" t="s">
        <v>1643</v>
      </c>
    </row>
    <row r="384" spans="1:2" x14ac:dyDescent="0.2">
      <c r="A384" s="240" t="s">
        <v>1212</v>
      </c>
      <c r="B384" s="256" t="s">
        <v>1644</v>
      </c>
    </row>
    <row r="385" spans="1:2" x14ac:dyDescent="0.2">
      <c r="A385" s="240" t="s">
        <v>1213</v>
      </c>
      <c r="B385" s="256" t="s">
        <v>1645</v>
      </c>
    </row>
    <row r="386" spans="1:2" x14ac:dyDescent="0.2">
      <c r="A386" s="240" t="s">
        <v>1214</v>
      </c>
      <c r="B386" s="256" t="s">
        <v>1646</v>
      </c>
    </row>
    <row r="387" spans="1:2" x14ac:dyDescent="0.2">
      <c r="A387" s="240" t="s">
        <v>1215</v>
      </c>
      <c r="B387" s="256" t="s">
        <v>1647</v>
      </c>
    </row>
    <row r="388" spans="1:2" x14ac:dyDescent="0.2">
      <c r="A388" s="240" t="s">
        <v>1216</v>
      </c>
      <c r="B388" s="256" t="s">
        <v>1648</v>
      </c>
    </row>
    <row r="389" spans="1:2" x14ac:dyDescent="0.2">
      <c r="A389" s="240" t="s">
        <v>1649</v>
      </c>
      <c r="B389" s="256" t="s">
        <v>1650</v>
      </c>
    </row>
    <row r="390" spans="1:2" x14ac:dyDescent="0.2">
      <c r="A390" s="257" t="s">
        <v>1217</v>
      </c>
      <c r="B390" s="258" t="s">
        <v>1652</v>
      </c>
    </row>
    <row r="391" spans="1:2" x14ac:dyDescent="0.2">
      <c r="A391" s="239" t="s">
        <v>1651</v>
      </c>
      <c r="B391" s="256" t="s">
        <v>1652</v>
      </c>
    </row>
    <row r="392" spans="1:2" x14ac:dyDescent="0.2">
      <c r="A392" s="240" t="s">
        <v>1218</v>
      </c>
      <c r="B392" s="256" t="s">
        <v>1653</v>
      </c>
    </row>
    <row r="393" spans="1:2" x14ac:dyDescent="0.2">
      <c r="A393" s="240" t="s">
        <v>1219</v>
      </c>
      <c r="B393" s="256" t="s">
        <v>1654</v>
      </c>
    </row>
    <row r="394" spans="1:2" x14ac:dyDescent="0.2">
      <c r="A394" s="240" t="s">
        <v>1655</v>
      </c>
      <c r="B394" s="256" t="s">
        <v>1656</v>
      </c>
    </row>
    <row r="395" spans="1:2" x14ac:dyDescent="0.2">
      <c r="A395" s="240" t="s">
        <v>1220</v>
      </c>
      <c r="B395" s="256" t="s">
        <v>1657</v>
      </c>
    </row>
    <row r="396" spans="1:2" x14ac:dyDescent="0.2">
      <c r="A396" s="240" t="s">
        <v>1221</v>
      </c>
      <c r="B396" s="256" t="s">
        <v>1658</v>
      </c>
    </row>
    <row r="397" spans="1:2" x14ac:dyDescent="0.2">
      <c r="A397" s="240" t="s">
        <v>1222</v>
      </c>
      <c r="B397" s="256" t="s">
        <v>1659</v>
      </c>
    </row>
    <row r="398" spans="1:2" x14ac:dyDescent="0.2">
      <c r="A398" s="240" t="s">
        <v>1223</v>
      </c>
      <c r="B398" s="256" t="s">
        <v>1660</v>
      </c>
    </row>
    <row r="399" spans="1:2" x14ac:dyDescent="0.2">
      <c r="A399" s="241" t="s">
        <v>1171</v>
      </c>
      <c r="B399" s="239" t="s">
        <v>1661</v>
      </c>
    </row>
    <row r="400" spans="1:2" x14ac:dyDescent="0.2">
      <c r="A400" s="240" t="s">
        <v>1172</v>
      </c>
      <c r="B400" s="239" t="s">
        <v>1662</v>
      </c>
    </row>
    <row r="401" spans="1:2" x14ac:dyDescent="0.2">
      <c r="A401" s="241" t="s">
        <v>1173</v>
      </c>
      <c r="B401" s="239" t="s">
        <v>1663</v>
      </c>
    </row>
    <row r="402" spans="1:2" x14ac:dyDescent="0.2">
      <c r="A402" s="240" t="s">
        <v>1174</v>
      </c>
      <c r="B402" s="239" t="s">
        <v>1664</v>
      </c>
    </row>
    <row r="403" spans="1:2" x14ac:dyDescent="0.2">
      <c r="A403" s="241" t="s">
        <v>1175</v>
      </c>
      <c r="B403" s="239" t="s">
        <v>1665</v>
      </c>
    </row>
    <row r="404" spans="1:2" x14ac:dyDescent="0.2">
      <c r="A404" s="241" t="s">
        <v>1176</v>
      </c>
      <c r="B404" s="239" t="s">
        <v>1666</v>
      </c>
    </row>
    <row r="405" spans="1:2" x14ac:dyDescent="0.2">
      <c r="A405" s="241" t="s">
        <v>1177</v>
      </c>
      <c r="B405" s="239" t="s">
        <v>1667</v>
      </c>
    </row>
    <row r="406" spans="1:2" x14ac:dyDescent="0.2">
      <c r="A406" s="241" t="s">
        <v>1668</v>
      </c>
      <c r="B406" s="239" t="s">
        <v>1669</v>
      </c>
    </row>
    <row r="407" spans="1:2" x14ac:dyDescent="0.2">
      <c r="A407" s="241" t="s">
        <v>1178</v>
      </c>
      <c r="B407" s="239" t="s">
        <v>1670</v>
      </c>
    </row>
    <row r="408" spans="1:2" x14ac:dyDescent="0.2">
      <c r="A408" s="240" t="s">
        <v>1179</v>
      </c>
      <c r="B408" s="239" t="s">
        <v>1671</v>
      </c>
    </row>
    <row r="409" spans="1:2" x14ac:dyDescent="0.2">
      <c r="A409" s="240" t="s">
        <v>1672</v>
      </c>
      <c r="B409" s="239" t="s">
        <v>1673</v>
      </c>
    </row>
    <row r="410" spans="1:2" x14ac:dyDescent="0.2">
      <c r="A410" s="241" t="s">
        <v>1180</v>
      </c>
      <c r="B410" s="239" t="s">
        <v>1674</v>
      </c>
    </row>
    <row r="411" spans="1:2" x14ac:dyDescent="0.2">
      <c r="A411" s="241" t="s">
        <v>1181</v>
      </c>
      <c r="B411" s="239" t="s">
        <v>1675</v>
      </c>
    </row>
    <row r="412" spans="1:2" x14ac:dyDescent="0.2">
      <c r="A412" s="241" t="s">
        <v>1182</v>
      </c>
      <c r="B412" s="239" t="s">
        <v>1676</v>
      </c>
    </row>
    <row r="413" spans="1:2" x14ac:dyDescent="0.2">
      <c r="A413" s="241" t="s">
        <v>1183</v>
      </c>
      <c r="B413" s="239" t="s">
        <v>1677</v>
      </c>
    </row>
    <row r="414" spans="1:2" x14ac:dyDescent="0.2">
      <c r="A414" s="241" t="s">
        <v>1184</v>
      </c>
      <c r="B414" s="239" t="s">
        <v>1678</v>
      </c>
    </row>
    <row r="415" spans="1:2" x14ac:dyDescent="0.2">
      <c r="A415" s="241" t="s">
        <v>1185</v>
      </c>
      <c r="B415" s="239" t="s">
        <v>1679</v>
      </c>
    </row>
    <row r="416" spans="1:2" x14ac:dyDescent="0.2">
      <c r="A416" s="241" t="s">
        <v>1224</v>
      </c>
      <c r="B416" s="239" t="s">
        <v>1680</v>
      </c>
    </row>
    <row r="417" spans="1:2" x14ac:dyDescent="0.2">
      <c r="A417" s="241" t="s">
        <v>1225</v>
      </c>
      <c r="B417" s="239" t="s">
        <v>1681</v>
      </c>
    </row>
    <row r="418" spans="1:2" x14ac:dyDescent="0.2">
      <c r="A418" s="241" t="s">
        <v>1226</v>
      </c>
      <c r="B418" s="239" t="s">
        <v>1682</v>
      </c>
    </row>
    <row r="419" spans="1:2" x14ac:dyDescent="0.2">
      <c r="A419" s="241" t="s">
        <v>1227</v>
      </c>
      <c r="B419" s="239" t="s">
        <v>1683</v>
      </c>
    </row>
    <row r="420" spans="1:2" x14ac:dyDescent="0.2">
      <c r="A420" s="241" t="s">
        <v>1228</v>
      </c>
      <c r="B420" s="239" t="s">
        <v>1684</v>
      </c>
    </row>
    <row r="421" spans="1:2" x14ac:dyDescent="0.2">
      <c r="A421" s="241" t="s">
        <v>1229</v>
      </c>
      <c r="B421" s="239" t="s">
        <v>1685</v>
      </c>
    </row>
    <row r="422" spans="1:2" x14ac:dyDescent="0.2">
      <c r="A422" s="241" t="s">
        <v>1230</v>
      </c>
      <c r="B422" s="239" t="s">
        <v>1686</v>
      </c>
    </row>
    <row r="423" spans="1:2" x14ac:dyDescent="0.2">
      <c r="A423" s="241" t="s">
        <v>1231</v>
      </c>
      <c r="B423" s="239" t="s">
        <v>1687</v>
      </c>
    </row>
    <row r="424" spans="1:2" x14ac:dyDescent="0.2">
      <c r="A424" s="241" t="s">
        <v>1232</v>
      </c>
      <c r="B424" s="239" t="s">
        <v>1688</v>
      </c>
    </row>
    <row r="425" spans="1:2" x14ac:dyDescent="0.2">
      <c r="A425" s="241" t="s">
        <v>1233</v>
      </c>
      <c r="B425" s="239" t="s">
        <v>1689</v>
      </c>
    </row>
    <row r="426" spans="1:2" x14ac:dyDescent="0.2">
      <c r="A426" s="241" t="s">
        <v>1234</v>
      </c>
      <c r="B426" s="239" t="s">
        <v>1690</v>
      </c>
    </row>
    <row r="427" spans="1:2" x14ac:dyDescent="0.2">
      <c r="A427" s="241" t="s">
        <v>1235</v>
      </c>
      <c r="B427" s="239" t="s">
        <v>1691</v>
      </c>
    </row>
    <row r="428" spans="1:2" x14ac:dyDescent="0.2">
      <c r="A428" s="241" t="s">
        <v>1692</v>
      </c>
      <c r="B428" s="239" t="s">
        <v>1693</v>
      </c>
    </row>
    <row r="429" spans="1:2" x14ac:dyDescent="0.2">
      <c r="A429" s="241" t="s">
        <v>1236</v>
      </c>
      <c r="B429" s="239" t="s">
        <v>1694</v>
      </c>
    </row>
    <row r="430" spans="1:2" x14ac:dyDescent="0.2">
      <c r="A430" s="241" t="s">
        <v>1237</v>
      </c>
      <c r="B430" s="239" t="s">
        <v>1695</v>
      </c>
    </row>
    <row r="431" spans="1:2" x14ac:dyDescent="0.2">
      <c r="A431" s="240" t="s">
        <v>1186</v>
      </c>
      <c r="B431" s="239" t="s">
        <v>1696</v>
      </c>
    </row>
    <row r="432" spans="1:2" x14ac:dyDescent="0.2">
      <c r="A432" s="240" t="s">
        <v>1187</v>
      </c>
      <c r="B432" s="239" t="s">
        <v>1697</v>
      </c>
    </row>
    <row r="433" spans="1:2" x14ac:dyDescent="0.2">
      <c r="A433" s="241" t="s">
        <v>1188</v>
      </c>
      <c r="B433" s="239" t="s">
        <v>1698</v>
      </c>
    </row>
    <row r="434" spans="1:2" x14ac:dyDescent="0.2">
      <c r="A434" s="240" t="s">
        <v>1189</v>
      </c>
      <c r="B434" s="239" t="s">
        <v>1699</v>
      </c>
    </row>
    <row r="435" spans="1:2" x14ac:dyDescent="0.2">
      <c r="A435" s="240" t="s">
        <v>1190</v>
      </c>
      <c r="B435" s="239" t="s">
        <v>1700</v>
      </c>
    </row>
    <row r="436" spans="1:2" x14ac:dyDescent="0.2">
      <c r="A436" s="240" t="s">
        <v>1191</v>
      </c>
      <c r="B436" s="239" t="s">
        <v>1701</v>
      </c>
    </row>
    <row r="437" spans="1:2" x14ac:dyDescent="0.2">
      <c r="A437" s="241" t="s">
        <v>1192</v>
      </c>
      <c r="B437" s="239" t="s">
        <v>1702</v>
      </c>
    </row>
    <row r="438" spans="1:2" x14ac:dyDescent="0.2">
      <c r="A438" s="241" t="s">
        <v>1193</v>
      </c>
      <c r="B438" s="239" t="s">
        <v>1703</v>
      </c>
    </row>
    <row r="439" spans="1:2" x14ac:dyDescent="0.2">
      <c r="A439" s="240" t="s">
        <v>1194</v>
      </c>
      <c r="B439" s="239" t="s">
        <v>1704</v>
      </c>
    </row>
    <row r="440" spans="1:2" x14ac:dyDescent="0.2">
      <c r="A440" s="240" t="s">
        <v>1195</v>
      </c>
      <c r="B440" s="239" t="s">
        <v>1705</v>
      </c>
    </row>
    <row r="441" spans="1:2" x14ac:dyDescent="0.2">
      <c r="A441" s="240" t="s">
        <v>1196</v>
      </c>
      <c r="B441" s="239" t="s">
        <v>1706</v>
      </c>
    </row>
    <row r="442" spans="1:2" x14ac:dyDescent="0.2">
      <c r="A442" s="240" t="s">
        <v>1197</v>
      </c>
      <c r="B442" s="239" t="s">
        <v>1707</v>
      </c>
    </row>
    <row r="443" spans="1:2" x14ac:dyDescent="0.2">
      <c r="A443" s="240" t="s">
        <v>1198</v>
      </c>
      <c r="B443" s="239" t="s">
        <v>1708</v>
      </c>
    </row>
    <row r="444" spans="1:2" x14ac:dyDescent="0.2">
      <c r="A444" s="240" t="s">
        <v>1199</v>
      </c>
      <c r="B444" s="239" t="s">
        <v>1709</v>
      </c>
    </row>
    <row r="445" spans="1:2" x14ac:dyDescent="0.2">
      <c r="A445" s="240" t="s">
        <v>1710</v>
      </c>
      <c r="B445" s="239" t="s">
        <v>1711</v>
      </c>
    </row>
    <row r="446" spans="1:2" x14ac:dyDescent="0.2">
      <c r="A446" s="240" t="s">
        <v>1200</v>
      </c>
      <c r="B446" s="239" t="s">
        <v>1712</v>
      </c>
    </row>
    <row r="447" spans="1:2" x14ac:dyDescent="0.2">
      <c r="A447" s="240" t="s">
        <v>1201</v>
      </c>
      <c r="B447" s="239" t="s">
        <v>1713</v>
      </c>
    </row>
    <row r="448" spans="1:2" x14ac:dyDescent="0.2">
      <c r="A448" s="240" t="s">
        <v>1202</v>
      </c>
      <c r="B448" s="239" t="s">
        <v>1714</v>
      </c>
    </row>
    <row r="449" spans="1:2" x14ac:dyDescent="0.2">
      <c r="A449" s="240" t="s">
        <v>1203</v>
      </c>
      <c r="B449" s="239" t="s">
        <v>1715</v>
      </c>
    </row>
    <row r="450" spans="1:2" x14ac:dyDescent="0.2">
      <c r="A450" s="240" t="s">
        <v>1716</v>
      </c>
      <c r="B450" s="239" t="s">
        <v>1717</v>
      </c>
    </row>
    <row r="451" spans="1:2" x14ac:dyDescent="0.2">
      <c r="A451" s="240" t="s">
        <v>1204</v>
      </c>
      <c r="B451" s="239" t="s">
        <v>1718</v>
      </c>
    </row>
    <row r="452" spans="1:2" x14ac:dyDescent="0.2">
      <c r="A452" s="239" t="s">
        <v>1238</v>
      </c>
      <c r="B452" s="239" t="s">
        <v>1719</v>
      </c>
    </row>
    <row r="453" spans="1:2" x14ac:dyDescent="0.2">
      <c r="A453" s="239" t="s">
        <v>1239</v>
      </c>
      <c r="B453" s="239" t="s">
        <v>1720</v>
      </c>
    </row>
    <row r="454" spans="1:2" x14ac:dyDescent="0.2">
      <c r="A454" s="239" t="s">
        <v>1240</v>
      </c>
      <c r="B454" s="239" t="s">
        <v>1721</v>
      </c>
    </row>
    <row r="455" spans="1:2" x14ac:dyDescent="0.2">
      <c r="A455" s="240" t="s">
        <v>1241</v>
      </c>
      <c r="B455" s="239" t="s">
        <v>1722</v>
      </c>
    </row>
    <row r="456" spans="1:2" x14ac:dyDescent="0.2">
      <c r="A456" s="240" t="s">
        <v>1242</v>
      </c>
      <c r="B456" s="239" t="s">
        <v>1723</v>
      </c>
    </row>
    <row r="457" spans="1:2" x14ac:dyDescent="0.2">
      <c r="A457" s="240" t="s">
        <v>1243</v>
      </c>
      <c r="B457" s="239" t="s">
        <v>1724</v>
      </c>
    </row>
    <row r="458" spans="1:2" x14ac:dyDescent="0.2">
      <c r="A458" s="240" t="s">
        <v>1244</v>
      </c>
      <c r="B458" s="239" t="s">
        <v>1725</v>
      </c>
    </row>
    <row r="459" spans="1:2" x14ac:dyDescent="0.2">
      <c r="A459" s="240" t="s">
        <v>1245</v>
      </c>
      <c r="B459" s="239" t="s">
        <v>1726</v>
      </c>
    </row>
    <row r="460" spans="1:2" x14ac:dyDescent="0.2">
      <c r="A460" s="240" t="s">
        <v>1246</v>
      </c>
      <c r="B460" s="239" t="s">
        <v>1727</v>
      </c>
    </row>
    <row r="461" spans="1:2" x14ac:dyDescent="0.2">
      <c r="A461" s="240" t="s">
        <v>1247</v>
      </c>
      <c r="B461" s="239" t="s">
        <v>1728</v>
      </c>
    </row>
    <row r="462" spans="1:2" x14ac:dyDescent="0.2">
      <c r="A462" s="240" t="s">
        <v>1248</v>
      </c>
      <c r="B462" s="239" t="s">
        <v>1729</v>
      </c>
    </row>
    <row r="463" spans="1:2" x14ac:dyDescent="0.2">
      <c r="A463" s="240" t="s">
        <v>1249</v>
      </c>
      <c r="B463" s="239" t="s">
        <v>1730</v>
      </c>
    </row>
    <row r="464" spans="1:2" x14ac:dyDescent="0.2">
      <c r="A464" s="239" t="s">
        <v>1250</v>
      </c>
      <c r="B464" s="239" t="s">
        <v>1731</v>
      </c>
    </row>
    <row r="465" spans="1:2" x14ac:dyDescent="0.2">
      <c r="A465" s="240" t="s">
        <v>1251</v>
      </c>
      <c r="B465" s="239" t="s">
        <v>1732</v>
      </c>
    </row>
    <row r="466" spans="1:2" x14ac:dyDescent="0.2">
      <c r="A466" s="240" t="s">
        <v>1252</v>
      </c>
      <c r="B466" s="239" t="s">
        <v>1733</v>
      </c>
    </row>
    <row r="467" spans="1:2" x14ac:dyDescent="0.2">
      <c r="A467" s="240" t="s">
        <v>1253</v>
      </c>
      <c r="B467" s="239" t="s">
        <v>1734</v>
      </c>
    </row>
  </sheetData>
  <autoFilter ref="A1:B467"/>
  <printOptions horizontalCentered="1"/>
  <pageMargins left="0.39370078740157483" right="0.39370078740157483" top="0.74803149606299213" bottom="0.74803149606299213" header="0.31496062992125984" footer="0.31496062992125984"/>
  <pageSetup paperSize="9" scale="56" fitToHeight="5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72</vt:i4>
      </vt:variant>
    </vt:vector>
  </HeadingPairs>
  <TitlesOfParts>
    <vt:vector size="80" baseType="lpstr">
      <vt:lpstr>Valves Selection</vt:lpstr>
      <vt:lpstr>Damper Selection</vt:lpstr>
      <vt:lpstr>Combi Valves Selection</vt:lpstr>
      <vt:lpstr>Stock List</vt:lpstr>
      <vt:lpstr>Combivalve Preset</vt:lpstr>
      <vt:lpstr>MenuSheet</vt:lpstr>
      <vt:lpstr>Macros</vt:lpstr>
      <vt:lpstr>Data_Descriptions</vt:lpstr>
      <vt:lpstr>'Combi Valves Selection'!Print_Area</vt:lpstr>
      <vt:lpstr>'Damper Selection'!Print_Area</vt:lpstr>
      <vt:lpstr>'Stock List'!Print_Area</vt:lpstr>
      <vt:lpstr>'Valves Selection'!Print_Area</vt:lpstr>
      <vt:lpstr>'Combi Valves Selection'!Print_Titles</vt:lpstr>
      <vt:lpstr>Data_Descriptions!Print_Titles</vt:lpstr>
      <vt:lpstr>'Valves Selection'!Print_Titles</vt:lpstr>
      <vt:lpstr>VPF43_100_70_DIAL</vt:lpstr>
      <vt:lpstr>VPF43_100_70_LH</vt:lpstr>
      <vt:lpstr>VPF43_100_90_DIAL</vt:lpstr>
      <vt:lpstr>VPF43_100_90_LH</vt:lpstr>
      <vt:lpstr>VPF43_125_110_DIAL</vt:lpstr>
      <vt:lpstr>VPF43_125_110_LH</vt:lpstr>
      <vt:lpstr>VPF43_125_135_DIAL</vt:lpstr>
      <vt:lpstr>VPF43_125_135_LH</vt:lpstr>
      <vt:lpstr>VPF43_150_148_DIAL</vt:lpstr>
      <vt:lpstr>VPF43_150_148_LH</vt:lpstr>
      <vt:lpstr>VPF43_150_195_DIAL</vt:lpstr>
      <vt:lpstr>VPF43_150_195_LH</vt:lpstr>
      <vt:lpstr>VPF43_50_16_DIAL</vt:lpstr>
      <vt:lpstr>VPF43_50_16_LH</vt:lpstr>
      <vt:lpstr>VPF43_50_25_DIAL</vt:lpstr>
      <vt:lpstr>VPF43_50_25_LH</vt:lpstr>
      <vt:lpstr>VPF43_65_24_DIAL</vt:lpstr>
      <vt:lpstr>VPF43_65_24_LH</vt:lpstr>
      <vt:lpstr>VPF43_65_35_DIAL</vt:lpstr>
      <vt:lpstr>VPF43_65_35_LH</vt:lpstr>
      <vt:lpstr>VPF43_80_35_DIAL</vt:lpstr>
      <vt:lpstr>VPF43_80_35_LH</vt:lpstr>
      <vt:lpstr>VPF43_80_45_DIAL</vt:lpstr>
      <vt:lpstr>VPF43_80_45_LH</vt:lpstr>
      <vt:lpstr>VPF53_100_70_DIAL</vt:lpstr>
      <vt:lpstr>VPF53_100_70_LH</vt:lpstr>
      <vt:lpstr>VPF53_100_90_DIAL</vt:lpstr>
      <vt:lpstr>VPF53_100_90_LH</vt:lpstr>
      <vt:lpstr>VPF53_125_110_DIAL</vt:lpstr>
      <vt:lpstr>VPF53_125_110_LH</vt:lpstr>
      <vt:lpstr>VPF53_125_135_DIAL</vt:lpstr>
      <vt:lpstr>VPF53_125_135_LH</vt:lpstr>
      <vt:lpstr>VPF53_150_148_DIAL</vt:lpstr>
      <vt:lpstr>VPF53_150_148_LH</vt:lpstr>
      <vt:lpstr>VPF53_150_195_DIAL</vt:lpstr>
      <vt:lpstr>VPF53_150_195_LH</vt:lpstr>
      <vt:lpstr>VPF53_50_16_DIAL</vt:lpstr>
      <vt:lpstr>VPF53_50_16_LH</vt:lpstr>
      <vt:lpstr>VPF53_50_25_DIAL</vt:lpstr>
      <vt:lpstr>VPF53_50_25_LH</vt:lpstr>
      <vt:lpstr>VPF53_65_24_DIAL</vt:lpstr>
      <vt:lpstr>VPF53_65_24_LH</vt:lpstr>
      <vt:lpstr>VPF53_65_35_DIAL</vt:lpstr>
      <vt:lpstr>VPF53_65_35_LH</vt:lpstr>
      <vt:lpstr>VPF53_80_35_DIAL</vt:lpstr>
      <vt:lpstr>VPF53_80_35_LH</vt:lpstr>
      <vt:lpstr>VPF53_80_45_DIAL</vt:lpstr>
      <vt:lpstr>VPF53_80_45_LH</vt:lpstr>
      <vt:lpstr>VPI45_40_7_DIAL</vt:lpstr>
      <vt:lpstr>VPI45_40_7_LH</vt:lpstr>
      <vt:lpstr>VPI45_50_8.5_DIAL</vt:lpstr>
      <vt:lpstr>VPI45_50_8.5_LH</vt:lpstr>
      <vt:lpstr>VPI46_15_0.2_DIAL</vt:lpstr>
      <vt:lpstr>VPI46_15_0.2_LH</vt:lpstr>
      <vt:lpstr>VPI46_15_0.6_DIAL</vt:lpstr>
      <vt:lpstr>VPI46_15_0.6_LH</vt:lpstr>
      <vt:lpstr>VPI46_20_1.4_DIAL</vt:lpstr>
      <vt:lpstr>VPI46_20_1.4_DIALSTA</vt:lpstr>
      <vt:lpstr>VPI46_20_1.4_LH</vt:lpstr>
      <vt:lpstr>VPI46_20_1.4_LHSTA</vt:lpstr>
      <vt:lpstr>VPI46_25_3.6_DIAL</vt:lpstr>
      <vt:lpstr>VPI46_25_3.6_LH</vt:lpstr>
      <vt:lpstr>VPI46_32_4_DIAL</vt:lpstr>
      <vt:lpstr>VPI46_32_4_LH</vt:lpstr>
      <vt:lpstr>VStock</vt:lpstr>
    </vt:vector>
  </TitlesOfParts>
  <Company>Siemens BT Products, Australia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Hor, Rae Min</dc:creator>
  <dc:description>Schedule for valve and damper actuator quotes</dc:description>
  <cp:lastModifiedBy>Mike Walsh</cp:lastModifiedBy>
  <cp:lastPrinted>2016-10-08T06:16:13Z</cp:lastPrinted>
  <dcterms:created xsi:type="dcterms:W3CDTF">2000-12-20T11:05:49Z</dcterms:created>
  <dcterms:modified xsi:type="dcterms:W3CDTF">2016-10-08T06:16:29Z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